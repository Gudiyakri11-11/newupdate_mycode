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03957\Downloads\"/>
    </mc:Choice>
  </mc:AlternateContent>
  <xr:revisionPtr revIDLastSave="0" documentId="13_ncr:1_{6A27FE93-71AD-4C7C-A7D7-B9341C4E191D}" xr6:coauthVersionLast="47" xr6:coauthVersionMax="47" xr10:uidLastSave="{00000000-0000-0000-0000-000000000000}"/>
  <bookViews>
    <workbookView xWindow="-110" yWindow="-110" windowWidth="19420" windowHeight="11500" tabRatio="778" firstSheet="6" activeTab="10" xr2:uid="{00000000-000D-0000-FFFF-FFFF00000000}"/>
  </bookViews>
  <sheets>
    <sheet name="Sheet1" sheetId="1" r:id="rId1"/>
    <sheet name="Final" sheetId="16" r:id="rId2"/>
    <sheet name="CleanedResponses" sheetId="18" r:id="rId3"/>
    <sheet name="Business Requirements" sheetId="19" r:id="rId4"/>
    <sheet name="Deploy &amp; Hypercare" sheetId="20" r:id="rId5"/>
    <sheet name="Domain or Business Use Case" sheetId="21" r:id="rId6"/>
    <sheet name="Others" sheetId="22" r:id="rId7"/>
    <sheet name="Test &amp; Review" sheetId="23" r:id="rId8"/>
    <sheet name="Design" sheetId="24" r:id="rId9"/>
    <sheet name="Code &amp; Build" sheetId="25" r:id="rId10"/>
    <sheet name="Pulse" sheetId="3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6" l="1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2" i="16"/>
</calcChain>
</file>

<file path=xl/sharedStrings.xml><?xml version="1.0" encoding="utf-8"?>
<sst xmlns="http://schemas.openxmlformats.org/spreadsheetml/2006/main" count="916" uniqueCount="119">
  <si>
    <t>ID</t>
  </si>
  <si>
    <t>Start time</t>
  </si>
  <si>
    <t>Completion time</t>
  </si>
  <si>
    <t>Email</t>
  </si>
  <si>
    <t>Name</t>
  </si>
  <si>
    <t>Language</t>
  </si>
  <si>
    <t>Sprint</t>
  </si>
  <si>
    <t>Employee ID</t>
  </si>
  <si>
    <t>Project Name</t>
  </si>
  <si>
    <t>Project ID</t>
  </si>
  <si>
    <t>Date</t>
  </si>
  <si>
    <t>Stage</t>
  </si>
  <si>
    <t>Business Requirements- Activity</t>
  </si>
  <si>
    <t>Code &amp; Build- Activity</t>
  </si>
  <si>
    <t>Design- Activity</t>
  </si>
  <si>
    <t>Test &amp; Review- Activity</t>
  </si>
  <si>
    <t>Deploy &amp; Hypercare- Activity</t>
  </si>
  <si>
    <t>Domain or Business Use Case- Activity</t>
  </si>
  <si>
    <t>Other Activity</t>
  </si>
  <si>
    <t>Do you have GHCP Licence?</t>
  </si>
  <si>
    <t>Number of items (Lines of Code, Number of Documents, etc.) developed with GHCP</t>
  </si>
  <si>
    <t>Hours taken to develop with GHCP</t>
  </si>
  <si>
    <t>Number of items (Lines of Code, Number of Documents, etc.) developed without GHCP</t>
  </si>
  <si>
    <t>Hours taken to develop without GHCP</t>
  </si>
  <si>
    <t>2403957@cognizant.com</t>
  </si>
  <si>
    <t>SK Abir Ahmed</t>
  </si>
  <si>
    <t>JH-NDMSM</t>
  </si>
  <si>
    <t>1000242686</t>
  </si>
  <si>
    <t>Others</t>
  </si>
  <si>
    <t>asdfg</t>
  </si>
  <si>
    <t>Yes</t>
  </si>
  <si>
    <t>8</t>
  </si>
  <si>
    <t>9</t>
  </si>
  <si>
    <t>Business Requirements</t>
  </si>
  <si>
    <t>Functional &amp; Non-Functional Requirements</t>
  </si>
  <si>
    <t>6</t>
  </si>
  <si>
    <t>2401685@cognizant.com</t>
  </si>
  <si>
    <t>Samiksha Sharan</t>
  </si>
  <si>
    <t>English (United Kingdom)‎</t>
  </si>
  <si>
    <t>Code &amp; Build</t>
  </si>
  <si>
    <t>Code documentation</t>
  </si>
  <si>
    <t>No</t>
  </si>
  <si>
    <t>45</t>
  </si>
  <si>
    <t>5</t>
  </si>
  <si>
    <t>Test &amp; Review</t>
  </si>
  <si>
    <t>Complex Boundary Value Analysis and Edge Case</t>
  </si>
  <si>
    <t>7</t>
  </si>
  <si>
    <t>Code Security Assessment &amp; fix-OWAS &amp; NIST</t>
  </si>
  <si>
    <t>1</t>
  </si>
  <si>
    <t>2</t>
  </si>
  <si>
    <t>3</t>
  </si>
  <si>
    <t>4</t>
  </si>
  <si>
    <t>890743@cognizant.com</t>
  </si>
  <si>
    <t>Vaibhav Zode</t>
  </si>
  <si>
    <t>Functional testcase generation</t>
  </si>
  <si>
    <t>20</t>
  </si>
  <si>
    <t>Enabling Performance Testing framework</t>
  </si>
  <si>
    <t>Business Requirement generation from call transcripts</t>
  </si>
  <si>
    <t>90</t>
  </si>
  <si>
    <t>98</t>
  </si>
  <si>
    <t>676</t>
  </si>
  <si>
    <t>76756</t>
  </si>
  <si>
    <t>656</t>
  </si>
  <si>
    <t>657</t>
  </si>
  <si>
    <t>10</t>
  </si>
  <si>
    <t>545</t>
  </si>
  <si>
    <t>9878</t>
  </si>
  <si>
    <t>Code Generation</t>
  </si>
  <si>
    <t>34</t>
  </si>
  <si>
    <t>Design</t>
  </si>
  <si>
    <t>Auto generation of architecture document and flowcharts-Limited (Cloud Specific AWS, Azure)</t>
  </si>
  <si>
    <t>70</t>
  </si>
  <si>
    <t>2403957</t>
  </si>
  <si>
    <t>Code conversion/migration</t>
  </si>
  <si>
    <t>40</t>
  </si>
  <si>
    <t>Business case generation from historical cases</t>
  </si>
  <si>
    <t>56</t>
  </si>
  <si>
    <t>67</t>
  </si>
  <si>
    <t>2026 - Iteration 1 (Jan 5th - Jan 18th)</t>
  </si>
  <si>
    <t>12345</t>
  </si>
  <si>
    <t>43</t>
  </si>
  <si>
    <t>Domain or Business Use Case</t>
  </si>
  <si>
    <t>Deploy &amp; Hypercare</t>
  </si>
  <si>
    <t>Intelligent generation of pipeline &amp; Infra</t>
  </si>
  <si>
    <t>3432323</t>
  </si>
  <si>
    <t>Auto remediation and CR Comments</t>
  </si>
  <si>
    <t>4343</t>
  </si>
  <si>
    <t>43434</t>
  </si>
  <si>
    <t>43434343</t>
  </si>
  <si>
    <t>hello world</t>
  </si>
  <si>
    <t>433434</t>
  </si>
  <si>
    <t>43343434</t>
  </si>
  <si>
    <t>4332</t>
  </si>
  <si>
    <t>4532</t>
  </si>
  <si>
    <t>343123</t>
  </si>
  <si>
    <t>3242</t>
  </si>
  <si>
    <t>2342</t>
  </si>
  <si>
    <t>34322</t>
  </si>
  <si>
    <t>Ticket Analysis</t>
  </si>
  <si>
    <t>24242</t>
  </si>
  <si>
    <t>531</t>
  </si>
  <si>
    <t>275715@cognizant.com</t>
  </si>
  <si>
    <t>Anand Sethi</t>
  </si>
  <si>
    <t>275715</t>
  </si>
  <si>
    <t>189</t>
  </si>
  <si>
    <t>GHCP Items</t>
  </si>
  <si>
    <t>GHCP Efforts</t>
  </si>
  <si>
    <t>GHCP Licence</t>
  </si>
  <si>
    <t>Manual Items</t>
  </si>
  <si>
    <t>Manual Efforts</t>
  </si>
  <si>
    <t>Activity</t>
  </si>
  <si>
    <t>Activity (Derived)</t>
  </si>
  <si>
    <t>Total</t>
  </si>
  <si>
    <t>Mp</t>
  </si>
  <si>
    <t>Human</t>
  </si>
  <si>
    <t>Machine Pulse</t>
  </si>
  <si>
    <t>Human Pulse</t>
  </si>
  <si>
    <t>GHCP Efforts(Hrs)</t>
  </si>
  <si>
    <t>Manual Efforts(Hrs)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</si>
</sst>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6E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8" totalsRowShown="0">
  <autoFilter ref="A1:X28" xr:uid="{00000000-0009-0000-0100-000001000000}"/>
  <tableColumns count="24">
    <tableColumn id="1" xr3:uid="{00000000-0010-0000-0000-000001000000}" name="ID" dataDxfId="23"/>
    <tableColumn id="2" xr3:uid="{00000000-0010-0000-0000-000002000000}" name="Start time" dataDxfId="22"/>
    <tableColumn id="3" xr3:uid="{00000000-0010-0000-0000-000003000000}" name="Completion time" dataDxfId="21"/>
    <tableColumn id="4" xr3:uid="{00000000-0010-0000-0000-000004000000}" name="Email" dataDxfId="20"/>
    <tableColumn id="5" xr3:uid="{00000000-0010-0000-0000-000005000000}" name="Name" dataDxfId="19"/>
    <tableColumn id="6" xr3:uid="{00000000-0010-0000-0000-000006000000}" name="Language" dataDxfId="18"/>
    <tableColumn id="7" xr3:uid="{00000000-0010-0000-0000-000007000000}" name="Sprint" dataDxfId="17"/>
    <tableColumn id="8" xr3:uid="{00000000-0010-0000-0000-000008000000}" name="Employee ID" dataDxfId="16"/>
    <tableColumn id="9" xr3:uid="{00000000-0010-0000-0000-000009000000}" name="Project Name" dataDxfId="15"/>
    <tableColumn id="10" xr3:uid="{00000000-0010-0000-0000-00000A000000}" name="Project ID" dataDxfId="14"/>
    <tableColumn id="11" xr3:uid="{00000000-0010-0000-0000-00000B000000}" name="Date" dataDxfId="13"/>
    <tableColumn id="12" xr3:uid="{00000000-0010-0000-0000-00000C000000}" name="Stage" dataDxfId="12"/>
    <tableColumn id="13" xr3:uid="{00000000-0010-0000-0000-00000D000000}" name="Business Requirements- Activity" dataDxfId="11"/>
    <tableColumn id="14" xr3:uid="{00000000-0010-0000-0000-00000E000000}" name="Code &amp; Build- Activity" dataDxfId="10"/>
    <tableColumn id="15" xr3:uid="{00000000-0010-0000-0000-00000F000000}" name="Design- Activity" dataDxfId="9"/>
    <tableColumn id="16" xr3:uid="{00000000-0010-0000-0000-000010000000}" name="Test &amp; Review- Activity" dataDxfId="8"/>
    <tableColumn id="17" xr3:uid="{00000000-0010-0000-0000-000011000000}" name="Deploy &amp; Hypercare- Activity" dataDxfId="7"/>
    <tableColumn id="18" xr3:uid="{00000000-0010-0000-0000-000012000000}" name="Domain or Business Use Case- Activity" dataDxfId="6"/>
    <tableColumn id="19" xr3:uid="{00000000-0010-0000-0000-000013000000}" name="Other Activity" dataDxfId="5"/>
    <tableColumn id="20" xr3:uid="{00000000-0010-0000-0000-000014000000}" name="Do you have GHCP Licence?" dataDxfId="4"/>
    <tableColumn id="21" xr3:uid="{00000000-0010-0000-0000-000015000000}" name="Number of items (Lines of Code, Number of Documents, etc.) developed with GHCP" dataDxfId="3"/>
    <tableColumn id="22" xr3:uid="{00000000-0010-0000-0000-000016000000}" name="Hours taken to develop with GHCP" dataDxfId="2"/>
    <tableColumn id="23" xr3:uid="{00000000-0010-0000-0000-000017000000}" name="Number of items (Lines of Code, Number of Documents, etc.) developed without GHCP" dataDxfId="1"/>
    <tableColumn id="24" xr3:uid="{00000000-0010-0000-0000-000018000000}" name="Hours taken to develop without GHC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opLeftCell="A2" workbookViewId="0">
      <selection activeCell="H6" sqref="H6"/>
    </sheetView>
  </sheetViews>
  <sheetFormatPr defaultRowHeight="14.5" x14ac:dyDescent="0.35"/>
  <cols>
    <col min="1" max="3" width="20" bestFit="1" customWidth="1"/>
    <col min="4" max="4" width="43.36328125" customWidth="1"/>
    <col min="5" max="24" width="20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17</v>
      </c>
      <c r="B2" s="1">
        <v>46028.628136574102</v>
      </c>
      <c r="C2" s="1">
        <v>46028.628564814797</v>
      </c>
      <c r="D2" t="s">
        <v>24</v>
      </c>
      <c r="E2" t="s">
        <v>25</v>
      </c>
      <c r="I2" t="s">
        <v>26</v>
      </c>
      <c r="J2" s="3" t="s">
        <v>27</v>
      </c>
      <c r="K2" s="2">
        <v>46051</v>
      </c>
      <c r="L2" t="s">
        <v>28</v>
      </c>
      <c r="S2" t="s">
        <v>29</v>
      </c>
      <c r="T2" t="s">
        <v>30</v>
      </c>
      <c r="U2" s="3" t="s">
        <v>31</v>
      </c>
      <c r="V2" s="3" t="s">
        <v>32</v>
      </c>
      <c r="W2" s="3" t="s">
        <v>31</v>
      </c>
      <c r="X2" s="3" t="s">
        <v>32</v>
      </c>
    </row>
    <row r="3" spans="1:24" x14ac:dyDescent="0.35">
      <c r="A3">
        <v>18</v>
      </c>
      <c r="B3" s="1">
        <v>46028.628969907397</v>
      </c>
      <c r="C3" s="1">
        <v>46028.629398148099</v>
      </c>
      <c r="D3" t="s">
        <v>24</v>
      </c>
      <c r="E3" t="s">
        <v>25</v>
      </c>
      <c r="I3" t="s">
        <v>26</v>
      </c>
      <c r="J3" s="3" t="s">
        <v>27</v>
      </c>
      <c r="K3" s="2">
        <v>46008</v>
      </c>
      <c r="L3" t="s">
        <v>33</v>
      </c>
      <c r="M3" t="s">
        <v>34</v>
      </c>
      <c r="T3" t="s">
        <v>30</v>
      </c>
      <c r="U3" s="3" t="s">
        <v>31</v>
      </c>
      <c r="V3" s="3" t="s">
        <v>35</v>
      </c>
      <c r="W3" s="3" t="s">
        <v>31</v>
      </c>
      <c r="X3" s="3" t="s">
        <v>32</v>
      </c>
    </row>
    <row r="4" spans="1:24" x14ac:dyDescent="0.35">
      <c r="A4">
        <v>19</v>
      </c>
      <c r="B4" s="1">
        <v>46028.636365740698</v>
      </c>
      <c r="C4" s="1">
        <v>46028.636724536998</v>
      </c>
      <c r="D4" t="s">
        <v>36</v>
      </c>
      <c r="E4" t="s">
        <v>37</v>
      </c>
      <c r="F4" t="s">
        <v>38</v>
      </c>
      <c r="I4" t="s">
        <v>26</v>
      </c>
      <c r="J4" s="3" t="s">
        <v>27</v>
      </c>
      <c r="K4" s="2">
        <v>46028</v>
      </c>
      <c r="L4" t="s">
        <v>39</v>
      </c>
      <c r="N4" t="s">
        <v>40</v>
      </c>
      <c r="T4" t="s">
        <v>41</v>
      </c>
      <c r="W4" s="3" t="s">
        <v>42</v>
      </c>
      <c r="X4" s="3" t="s">
        <v>43</v>
      </c>
    </row>
    <row r="5" spans="1:24" x14ac:dyDescent="0.35">
      <c r="A5">
        <v>20</v>
      </c>
      <c r="B5" s="1">
        <v>46028.637141203697</v>
      </c>
      <c r="C5" s="1">
        <v>46028.637685185196</v>
      </c>
      <c r="D5" t="s">
        <v>24</v>
      </c>
      <c r="E5" t="s">
        <v>25</v>
      </c>
      <c r="F5" t="s">
        <v>38</v>
      </c>
      <c r="I5" t="s">
        <v>26</v>
      </c>
      <c r="J5" s="3" t="s">
        <v>27</v>
      </c>
      <c r="K5" s="2">
        <v>46030</v>
      </c>
      <c r="L5" t="s">
        <v>44</v>
      </c>
      <c r="P5" t="s">
        <v>45</v>
      </c>
      <c r="T5" t="s">
        <v>41</v>
      </c>
      <c r="W5" s="3" t="s">
        <v>32</v>
      </c>
      <c r="X5" s="3" t="s">
        <v>46</v>
      </c>
    </row>
    <row r="6" spans="1:24" x14ac:dyDescent="0.35">
      <c r="A6">
        <v>21</v>
      </c>
      <c r="B6" s="1">
        <v>46028.638055555602</v>
      </c>
      <c r="C6" s="1">
        <v>46028.638425925899</v>
      </c>
      <c r="D6" t="s">
        <v>24</v>
      </c>
      <c r="E6" t="s">
        <v>25</v>
      </c>
      <c r="F6" t="s">
        <v>38</v>
      </c>
      <c r="I6" t="s">
        <v>26</v>
      </c>
      <c r="J6" s="3" t="s">
        <v>27</v>
      </c>
      <c r="K6" s="2">
        <v>46031</v>
      </c>
      <c r="L6" t="s">
        <v>39</v>
      </c>
      <c r="N6" t="s">
        <v>47</v>
      </c>
      <c r="T6" t="s">
        <v>30</v>
      </c>
      <c r="U6" s="3" t="s">
        <v>48</v>
      </c>
      <c r="V6" s="3" t="s">
        <v>49</v>
      </c>
      <c r="W6" s="3" t="s">
        <v>50</v>
      </c>
      <c r="X6" s="3" t="s">
        <v>51</v>
      </c>
    </row>
    <row r="7" spans="1:24" x14ac:dyDescent="0.35">
      <c r="A7">
        <v>22</v>
      </c>
      <c r="B7" s="1">
        <v>46028.642581018503</v>
      </c>
      <c r="C7" s="1">
        <v>46028.643287036997</v>
      </c>
      <c r="D7" t="s">
        <v>52</v>
      </c>
      <c r="E7" t="s">
        <v>53</v>
      </c>
      <c r="F7" t="s">
        <v>38</v>
      </c>
      <c r="I7" t="s">
        <v>26</v>
      </c>
      <c r="J7" s="3" t="s">
        <v>27</v>
      </c>
      <c r="K7" s="2">
        <v>46029</v>
      </c>
      <c r="L7" t="s">
        <v>44</v>
      </c>
      <c r="P7" t="s">
        <v>54</v>
      </c>
      <c r="T7" t="s">
        <v>30</v>
      </c>
      <c r="U7" s="3" t="s">
        <v>55</v>
      </c>
      <c r="V7" s="3" t="s">
        <v>49</v>
      </c>
      <c r="W7" s="3" t="s">
        <v>55</v>
      </c>
      <c r="X7" s="3" t="s">
        <v>48</v>
      </c>
    </row>
    <row r="8" spans="1:24" x14ac:dyDescent="0.35">
      <c r="A8">
        <v>23</v>
      </c>
      <c r="B8" s="1">
        <v>46028.645196759302</v>
      </c>
      <c r="C8" s="1">
        <v>46028.645810185197</v>
      </c>
      <c r="D8" t="s">
        <v>36</v>
      </c>
      <c r="E8" t="s">
        <v>37</v>
      </c>
      <c r="I8" t="s">
        <v>26</v>
      </c>
      <c r="J8" s="3" t="s">
        <v>27</v>
      </c>
      <c r="K8" s="2">
        <v>46034</v>
      </c>
      <c r="L8" t="s">
        <v>44</v>
      </c>
      <c r="P8" t="s">
        <v>56</v>
      </c>
      <c r="T8" t="s">
        <v>30</v>
      </c>
      <c r="U8" s="3" t="s">
        <v>55</v>
      </c>
      <c r="V8" s="3" t="s">
        <v>49</v>
      </c>
      <c r="W8" s="3" t="s">
        <v>50</v>
      </c>
      <c r="X8" s="3" t="s">
        <v>43</v>
      </c>
    </row>
    <row r="9" spans="1:24" x14ac:dyDescent="0.35">
      <c r="A9">
        <v>24</v>
      </c>
      <c r="B9" s="1">
        <v>46028.663842592599</v>
      </c>
      <c r="C9" s="1">
        <v>46028.664398148103</v>
      </c>
      <c r="D9" t="s">
        <v>52</v>
      </c>
      <c r="E9" t="s">
        <v>53</v>
      </c>
      <c r="I9" t="s">
        <v>26</v>
      </c>
      <c r="J9" s="3" t="s">
        <v>27</v>
      </c>
      <c r="K9" s="2">
        <v>46030</v>
      </c>
      <c r="L9" t="s">
        <v>33</v>
      </c>
      <c r="M9" t="s">
        <v>57</v>
      </c>
      <c r="T9" t="s">
        <v>30</v>
      </c>
      <c r="U9" s="3" t="s">
        <v>58</v>
      </c>
      <c r="V9" s="3" t="s">
        <v>43</v>
      </c>
      <c r="W9" s="3" t="s">
        <v>59</v>
      </c>
      <c r="X9" s="3" t="s">
        <v>35</v>
      </c>
    </row>
    <row r="10" spans="1:24" x14ac:dyDescent="0.35">
      <c r="A10">
        <v>25</v>
      </c>
      <c r="B10" s="1">
        <v>46028.664432870399</v>
      </c>
      <c r="C10" s="1">
        <v>46028.664849537003</v>
      </c>
      <c r="D10" t="s">
        <v>52</v>
      </c>
      <c r="E10" t="s">
        <v>53</v>
      </c>
      <c r="I10" t="s">
        <v>26</v>
      </c>
      <c r="J10" s="3" t="s">
        <v>27</v>
      </c>
      <c r="K10" s="2">
        <v>46030</v>
      </c>
      <c r="L10" t="s">
        <v>33</v>
      </c>
      <c r="M10" t="s">
        <v>57</v>
      </c>
      <c r="T10" t="s">
        <v>30</v>
      </c>
      <c r="U10" s="3" t="s">
        <v>60</v>
      </c>
      <c r="V10" s="3" t="s">
        <v>49</v>
      </c>
      <c r="W10" s="3" t="s">
        <v>61</v>
      </c>
      <c r="X10" s="3" t="s">
        <v>31</v>
      </c>
    </row>
    <row r="11" spans="1:24" x14ac:dyDescent="0.35">
      <c r="A11">
        <v>26</v>
      </c>
      <c r="B11" s="1">
        <v>46028.664884259299</v>
      </c>
      <c r="C11" s="1">
        <v>46028.6652777778</v>
      </c>
      <c r="D11" t="s">
        <v>52</v>
      </c>
      <c r="E11" t="s">
        <v>53</v>
      </c>
      <c r="I11" t="s">
        <v>26</v>
      </c>
      <c r="J11" s="3" t="s">
        <v>27</v>
      </c>
      <c r="K11" s="2">
        <v>46031</v>
      </c>
      <c r="L11" t="s">
        <v>33</v>
      </c>
      <c r="M11" t="s">
        <v>57</v>
      </c>
      <c r="T11" t="s">
        <v>30</v>
      </c>
      <c r="U11" s="3" t="s">
        <v>62</v>
      </c>
      <c r="V11" s="3" t="s">
        <v>51</v>
      </c>
      <c r="W11" s="3" t="s">
        <v>63</v>
      </c>
      <c r="X11" s="3" t="s">
        <v>64</v>
      </c>
    </row>
    <row r="12" spans="1:24" x14ac:dyDescent="0.35">
      <c r="A12">
        <v>27</v>
      </c>
      <c r="B12" s="1">
        <v>46028.665300925903</v>
      </c>
      <c r="C12" s="1">
        <v>46028.665671296301</v>
      </c>
      <c r="D12" t="s">
        <v>52</v>
      </c>
      <c r="E12" t="s">
        <v>53</v>
      </c>
      <c r="I12" t="s">
        <v>26</v>
      </c>
      <c r="J12" s="3" t="s">
        <v>27</v>
      </c>
      <c r="K12" s="2">
        <v>46034</v>
      </c>
      <c r="L12" t="s">
        <v>33</v>
      </c>
      <c r="M12" t="s">
        <v>57</v>
      </c>
      <c r="T12" t="s">
        <v>30</v>
      </c>
      <c r="U12" s="3" t="s">
        <v>65</v>
      </c>
      <c r="V12" s="3" t="s">
        <v>51</v>
      </c>
      <c r="W12" s="3" t="s">
        <v>66</v>
      </c>
      <c r="X12" s="3" t="s">
        <v>64</v>
      </c>
    </row>
    <row r="13" spans="1:24" x14ac:dyDescent="0.35">
      <c r="A13">
        <v>28</v>
      </c>
      <c r="B13" s="1">
        <v>46028.665671296301</v>
      </c>
      <c r="C13" s="1">
        <v>46028.665972222203</v>
      </c>
      <c r="D13" t="s">
        <v>36</v>
      </c>
      <c r="E13" t="s">
        <v>37</v>
      </c>
      <c r="I13" t="s">
        <v>26</v>
      </c>
      <c r="J13" s="3" t="s">
        <v>27</v>
      </c>
      <c r="K13" s="2">
        <v>46031</v>
      </c>
      <c r="L13" t="s">
        <v>39</v>
      </c>
      <c r="N13" t="s">
        <v>67</v>
      </c>
      <c r="T13" t="s">
        <v>30</v>
      </c>
      <c r="U13" s="3" t="s">
        <v>68</v>
      </c>
      <c r="V13" s="3" t="s">
        <v>51</v>
      </c>
      <c r="W13" s="3" t="s">
        <v>43</v>
      </c>
      <c r="X13" s="3" t="s">
        <v>51</v>
      </c>
    </row>
    <row r="14" spans="1:24" x14ac:dyDescent="0.35">
      <c r="A14">
        <v>29</v>
      </c>
      <c r="B14" s="1">
        <v>46028.805393518502</v>
      </c>
      <c r="C14" s="1">
        <v>46028.805775462999</v>
      </c>
      <c r="D14" t="s">
        <v>24</v>
      </c>
      <c r="E14" t="s">
        <v>25</v>
      </c>
      <c r="I14" t="s">
        <v>26</v>
      </c>
      <c r="J14" s="3" t="s">
        <v>27</v>
      </c>
      <c r="K14" s="2">
        <v>46035</v>
      </c>
      <c r="L14" t="s">
        <v>69</v>
      </c>
      <c r="O14" t="s">
        <v>70</v>
      </c>
      <c r="T14" t="s">
        <v>41</v>
      </c>
      <c r="W14" s="3" t="s">
        <v>71</v>
      </c>
      <c r="X14" s="3" t="s">
        <v>46</v>
      </c>
    </row>
    <row r="15" spans="1:24" x14ac:dyDescent="0.35">
      <c r="A15">
        <v>30</v>
      </c>
      <c r="B15" s="1">
        <v>46029.697141203702</v>
      </c>
      <c r="C15" s="1">
        <v>46029.697951388902</v>
      </c>
      <c r="D15" t="s">
        <v>24</v>
      </c>
      <c r="E15" t="s">
        <v>25</v>
      </c>
      <c r="H15" s="3" t="s">
        <v>72</v>
      </c>
      <c r="I15" t="s">
        <v>26</v>
      </c>
      <c r="J15" s="3" t="s">
        <v>27</v>
      </c>
      <c r="K15" s="2">
        <v>46029</v>
      </c>
      <c r="L15" t="s">
        <v>39</v>
      </c>
      <c r="N15" t="s">
        <v>73</v>
      </c>
      <c r="T15" t="s">
        <v>41</v>
      </c>
      <c r="W15" s="3" t="s">
        <v>74</v>
      </c>
      <c r="X15" s="3" t="s">
        <v>31</v>
      </c>
    </row>
    <row r="16" spans="1:24" x14ac:dyDescent="0.35">
      <c r="A16">
        <v>31</v>
      </c>
      <c r="B16" s="1">
        <v>46029.699050925898</v>
      </c>
      <c r="C16" s="1">
        <v>46029.699432870402</v>
      </c>
      <c r="D16" t="s">
        <v>24</v>
      </c>
      <c r="E16" t="s">
        <v>25</v>
      </c>
      <c r="H16" s="3" t="s">
        <v>72</v>
      </c>
      <c r="I16" t="s">
        <v>26</v>
      </c>
      <c r="J16" s="3" t="s">
        <v>27</v>
      </c>
      <c r="K16" s="2">
        <v>46030</v>
      </c>
      <c r="L16" t="s">
        <v>33</v>
      </c>
      <c r="M16" t="s">
        <v>75</v>
      </c>
      <c r="T16" t="s">
        <v>30</v>
      </c>
      <c r="U16" s="3" t="s">
        <v>76</v>
      </c>
      <c r="V16" s="3" t="s">
        <v>50</v>
      </c>
      <c r="W16" s="3" t="s">
        <v>42</v>
      </c>
      <c r="X16" s="3" t="s">
        <v>51</v>
      </c>
    </row>
    <row r="17" spans="1:24" x14ac:dyDescent="0.35">
      <c r="A17">
        <v>32</v>
      </c>
      <c r="B17" s="1">
        <v>46029.699502314797</v>
      </c>
      <c r="C17" s="1">
        <v>46029.701574074097</v>
      </c>
      <c r="D17" t="s">
        <v>24</v>
      </c>
      <c r="E17" t="s">
        <v>25</v>
      </c>
      <c r="H17" s="3" t="s">
        <v>72</v>
      </c>
      <c r="I17" t="s">
        <v>26</v>
      </c>
      <c r="J17" s="3" t="s">
        <v>27</v>
      </c>
      <c r="K17" s="2">
        <v>46030</v>
      </c>
      <c r="L17" t="s">
        <v>33</v>
      </c>
      <c r="M17" t="s">
        <v>75</v>
      </c>
      <c r="T17" t="s">
        <v>30</v>
      </c>
      <c r="U17" s="3" t="s">
        <v>77</v>
      </c>
      <c r="V17" s="3" t="s">
        <v>31</v>
      </c>
      <c r="W17" s="3" t="s">
        <v>76</v>
      </c>
      <c r="X17" s="3" t="s">
        <v>46</v>
      </c>
    </row>
    <row r="18" spans="1:24" x14ac:dyDescent="0.35">
      <c r="A18">
        <v>33</v>
      </c>
      <c r="B18" s="1">
        <v>46029.701701388898</v>
      </c>
      <c r="C18" s="1">
        <v>46029.702037037001</v>
      </c>
      <c r="D18" t="s">
        <v>24</v>
      </c>
      <c r="E18" t="s">
        <v>25</v>
      </c>
      <c r="H18" s="3" t="s">
        <v>72</v>
      </c>
      <c r="I18" t="s">
        <v>26</v>
      </c>
      <c r="J18" s="3" t="s">
        <v>27</v>
      </c>
      <c r="K18" s="2">
        <v>46030</v>
      </c>
      <c r="L18" t="s">
        <v>33</v>
      </c>
      <c r="M18" t="s">
        <v>75</v>
      </c>
      <c r="T18" t="s">
        <v>30</v>
      </c>
      <c r="U18" s="3" t="s">
        <v>77</v>
      </c>
      <c r="V18" s="3" t="s">
        <v>43</v>
      </c>
      <c r="W18" s="3" t="s">
        <v>77</v>
      </c>
      <c r="X18" s="3" t="s">
        <v>46</v>
      </c>
    </row>
    <row r="19" spans="1:24" x14ac:dyDescent="0.35">
      <c r="A19">
        <v>34</v>
      </c>
      <c r="B19" s="1">
        <v>46029.724814814799</v>
      </c>
      <c r="C19" s="1">
        <v>46029.7253935185</v>
      </c>
      <c r="D19" t="s">
        <v>36</v>
      </c>
      <c r="E19" t="s">
        <v>37</v>
      </c>
      <c r="G19" t="s">
        <v>78</v>
      </c>
      <c r="H19" s="3" t="s">
        <v>79</v>
      </c>
      <c r="I19" t="s">
        <v>26</v>
      </c>
      <c r="J19" s="3" t="s">
        <v>27</v>
      </c>
      <c r="K19" s="2">
        <v>46029</v>
      </c>
      <c r="L19" t="s">
        <v>69</v>
      </c>
      <c r="O19" t="s">
        <v>70</v>
      </c>
      <c r="T19" t="s">
        <v>30</v>
      </c>
      <c r="U19" s="3" t="s">
        <v>80</v>
      </c>
      <c r="V19" s="3" t="s">
        <v>49</v>
      </c>
      <c r="W19" s="3" t="s">
        <v>80</v>
      </c>
      <c r="X19" s="3" t="s">
        <v>43</v>
      </c>
    </row>
    <row r="20" spans="1:24" x14ac:dyDescent="0.35">
      <c r="A20">
        <v>35</v>
      </c>
      <c r="B20" s="1">
        <v>46029.769108796303</v>
      </c>
      <c r="C20" s="1">
        <v>46029.769583333298</v>
      </c>
      <c r="D20" t="s">
        <v>24</v>
      </c>
      <c r="E20" t="s">
        <v>25</v>
      </c>
      <c r="G20" t="s">
        <v>78</v>
      </c>
      <c r="H20" s="3" t="s">
        <v>72</v>
      </c>
      <c r="I20" t="s">
        <v>26</v>
      </c>
      <c r="J20" s="3" t="s">
        <v>27</v>
      </c>
      <c r="K20" s="2">
        <v>46029</v>
      </c>
      <c r="L20" t="s">
        <v>81</v>
      </c>
      <c r="R20" t="s">
        <v>81</v>
      </c>
      <c r="T20" t="s">
        <v>30</v>
      </c>
      <c r="U20" s="3" t="s">
        <v>42</v>
      </c>
      <c r="V20" s="3" t="s">
        <v>51</v>
      </c>
      <c r="W20" s="3" t="s">
        <v>43</v>
      </c>
      <c r="X20" s="3" t="s">
        <v>43</v>
      </c>
    </row>
    <row r="21" spans="1:24" x14ac:dyDescent="0.35">
      <c r="A21">
        <v>36</v>
      </c>
      <c r="B21" s="1">
        <v>46029.770092592596</v>
      </c>
      <c r="C21" s="1">
        <v>46029.770416666703</v>
      </c>
      <c r="D21" t="s">
        <v>24</v>
      </c>
      <c r="E21" t="s">
        <v>25</v>
      </c>
      <c r="G21" t="s">
        <v>78</v>
      </c>
      <c r="H21" s="3" t="s">
        <v>72</v>
      </c>
      <c r="I21" t="s">
        <v>26</v>
      </c>
      <c r="J21" s="3" t="s">
        <v>27</v>
      </c>
      <c r="K21" s="2">
        <v>46029</v>
      </c>
      <c r="L21" t="s">
        <v>82</v>
      </c>
      <c r="Q21" t="s">
        <v>83</v>
      </c>
      <c r="T21" t="s">
        <v>30</v>
      </c>
      <c r="U21" s="3" t="s">
        <v>43</v>
      </c>
      <c r="V21" s="3" t="s">
        <v>43</v>
      </c>
      <c r="W21" s="3" t="s">
        <v>43</v>
      </c>
      <c r="X21" s="3" t="s">
        <v>35</v>
      </c>
    </row>
    <row r="22" spans="1:24" x14ac:dyDescent="0.35">
      <c r="A22">
        <v>37</v>
      </c>
      <c r="B22" s="1">
        <v>46029.770428240699</v>
      </c>
      <c r="C22" s="1">
        <v>46029.770798611098</v>
      </c>
      <c r="D22" t="s">
        <v>24</v>
      </c>
      <c r="E22" t="s">
        <v>25</v>
      </c>
      <c r="G22" t="s">
        <v>78</v>
      </c>
      <c r="H22" s="3" t="s">
        <v>84</v>
      </c>
      <c r="I22" t="s">
        <v>26</v>
      </c>
      <c r="J22" s="3" t="s">
        <v>27</v>
      </c>
      <c r="K22" s="2">
        <v>46030</v>
      </c>
      <c r="L22" t="s">
        <v>44</v>
      </c>
      <c r="P22" t="s">
        <v>85</v>
      </c>
      <c r="T22" t="s">
        <v>30</v>
      </c>
      <c r="U22" s="3" t="s">
        <v>86</v>
      </c>
      <c r="V22" s="3" t="s">
        <v>51</v>
      </c>
      <c r="W22" s="3" t="s">
        <v>87</v>
      </c>
      <c r="X22" s="3" t="s">
        <v>43</v>
      </c>
    </row>
    <row r="23" spans="1:24" x14ac:dyDescent="0.35">
      <c r="A23">
        <v>38</v>
      </c>
      <c r="B23" s="1">
        <v>46029.770810185197</v>
      </c>
      <c r="C23" s="1">
        <v>46029.771168981497</v>
      </c>
      <c r="D23" t="s">
        <v>24</v>
      </c>
      <c r="E23" t="s">
        <v>25</v>
      </c>
      <c r="G23" t="s">
        <v>78</v>
      </c>
      <c r="H23" s="3" t="s">
        <v>88</v>
      </c>
      <c r="I23" t="s">
        <v>26</v>
      </c>
      <c r="J23" s="3" t="s">
        <v>27</v>
      </c>
      <c r="K23" s="2">
        <v>46030</v>
      </c>
      <c r="L23" t="s">
        <v>28</v>
      </c>
      <c r="S23" t="s">
        <v>89</v>
      </c>
      <c r="T23" t="s">
        <v>30</v>
      </c>
      <c r="U23" s="3" t="s">
        <v>90</v>
      </c>
      <c r="V23" s="3" t="s">
        <v>43</v>
      </c>
      <c r="W23" s="3" t="s">
        <v>87</v>
      </c>
      <c r="X23" s="3" t="s">
        <v>43</v>
      </c>
    </row>
    <row r="24" spans="1:24" x14ac:dyDescent="0.35">
      <c r="A24">
        <v>39</v>
      </c>
      <c r="B24" s="1">
        <v>46029.7711921296</v>
      </c>
      <c r="C24" s="1">
        <v>46029.771689814799</v>
      </c>
      <c r="D24" t="s">
        <v>24</v>
      </c>
      <c r="E24" t="s">
        <v>25</v>
      </c>
      <c r="G24" t="s">
        <v>78</v>
      </c>
      <c r="H24" s="3" t="s">
        <v>91</v>
      </c>
      <c r="I24" t="s">
        <v>26</v>
      </c>
      <c r="J24" s="3" t="s">
        <v>27</v>
      </c>
      <c r="K24" s="2">
        <v>46030</v>
      </c>
      <c r="L24" t="s">
        <v>33</v>
      </c>
      <c r="M24" t="s">
        <v>75</v>
      </c>
      <c r="T24" t="s">
        <v>30</v>
      </c>
      <c r="U24" s="3" t="s">
        <v>92</v>
      </c>
      <c r="V24" s="3" t="s">
        <v>50</v>
      </c>
      <c r="W24" s="3" t="s">
        <v>93</v>
      </c>
      <c r="X24" s="3" t="s">
        <v>50</v>
      </c>
    </row>
    <row r="25" spans="1:24" x14ac:dyDescent="0.35">
      <c r="A25">
        <v>40</v>
      </c>
      <c r="B25" s="1">
        <v>46029.771701388898</v>
      </c>
      <c r="C25" s="1">
        <v>46029.772013888898</v>
      </c>
      <c r="D25" t="s">
        <v>24</v>
      </c>
      <c r="E25" t="s">
        <v>25</v>
      </c>
      <c r="G25" t="s">
        <v>78</v>
      </c>
      <c r="H25" s="3" t="s">
        <v>94</v>
      </c>
      <c r="I25" t="s">
        <v>26</v>
      </c>
      <c r="J25" s="3" t="s">
        <v>27</v>
      </c>
      <c r="K25" s="2">
        <v>46029</v>
      </c>
      <c r="L25" t="s">
        <v>81</v>
      </c>
      <c r="R25" t="s">
        <v>81</v>
      </c>
      <c r="T25" t="s">
        <v>30</v>
      </c>
      <c r="U25" s="3" t="s">
        <v>95</v>
      </c>
      <c r="V25" s="3" t="s">
        <v>50</v>
      </c>
      <c r="W25" s="3" t="s">
        <v>96</v>
      </c>
      <c r="X25" s="3" t="s">
        <v>43</v>
      </c>
    </row>
    <row r="26" spans="1:24" x14ac:dyDescent="0.35">
      <c r="A26">
        <v>41</v>
      </c>
      <c r="B26" s="1">
        <v>46029.772037037001</v>
      </c>
      <c r="C26" s="1">
        <v>46029.772395833301</v>
      </c>
      <c r="D26" t="s">
        <v>24</v>
      </c>
      <c r="E26" t="s">
        <v>25</v>
      </c>
      <c r="G26" t="s">
        <v>78</v>
      </c>
      <c r="H26" s="3" t="s">
        <v>97</v>
      </c>
      <c r="I26" t="s">
        <v>26</v>
      </c>
      <c r="J26" s="3" t="s">
        <v>27</v>
      </c>
      <c r="K26" s="2">
        <v>46029</v>
      </c>
      <c r="L26" t="s">
        <v>82</v>
      </c>
      <c r="Q26" t="s">
        <v>98</v>
      </c>
      <c r="T26" t="s">
        <v>30</v>
      </c>
      <c r="U26" s="3" t="s">
        <v>99</v>
      </c>
      <c r="V26" s="3" t="s">
        <v>50</v>
      </c>
      <c r="W26" s="3" t="s">
        <v>100</v>
      </c>
      <c r="X26" s="3" t="s">
        <v>43</v>
      </c>
    </row>
    <row r="27" spans="1:24" x14ac:dyDescent="0.35">
      <c r="A27">
        <v>42</v>
      </c>
      <c r="B27" s="1">
        <v>46029.805983796301</v>
      </c>
      <c r="C27" s="1">
        <v>46029.808993055602</v>
      </c>
      <c r="D27" t="s">
        <v>101</v>
      </c>
      <c r="E27" t="s">
        <v>102</v>
      </c>
      <c r="G27" t="s">
        <v>78</v>
      </c>
      <c r="H27" s="3" t="s">
        <v>103</v>
      </c>
      <c r="I27" t="s">
        <v>26</v>
      </c>
      <c r="J27" s="3" t="s">
        <v>27</v>
      </c>
      <c r="K27" s="2">
        <v>46029</v>
      </c>
      <c r="L27" t="s">
        <v>33</v>
      </c>
      <c r="M27" t="s">
        <v>57</v>
      </c>
      <c r="T27" t="s">
        <v>30</v>
      </c>
      <c r="U27" s="3" t="s">
        <v>104</v>
      </c>
      <c r="V27" s="3" t="s">
        <v>48</v>
      </c>
      <c r="W27" s="3" t="s">
        <v>58</v>
      </c>
      <c r="X27" s="3" t="s">
        <v>50</v>
      </c>
    </row>
    <row r="28" spans="1:24" x14ac:dyDescent="0.35">
      <c r="A28">
        <v>43</v>
      </c>
      <c r="B28" s="1">
        <v>46029.820300925901</v>
      </c>
      <c r="C28" s="1">
        <v>46029.8208101852</v>
      </c>
      <c r="D28" t="s">
        <v>24</v>
      </c>
      <c r="E28" t="s">
        <v>25</v>
      </c>
      <c r="G28" t="s">
        <v>78</v>
      </c>
      <c r="H28" s="3" t="s">
        <v>72</v>
      </c>
      <c r="I28" t="s">
        <v>26</v>
      </c>
      <c r="J28" s="3" t="s">
        <v>27</v>
      </c>
      <c r="K28" s="2">
        <v>46029</v>
      </c>
      <c r="L28" t="s">
        <v>33</v>
      </c>
      <c r="M28" t="s">
        <v>75</v>
      </c>
      <c r="T28" t="s">
        <v>30</v>
      </c>
      <c r="U28" s="3" t="s">
        <v>42</v>
      </c>
      <c r="V28" s="3" t="s">
        <v>51</v>
      </c>
      <c r="W28" s="3" t="s">
        <v>76</v>
      </c>
      <c r="X28" s="3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DB7B-5165-47EC-AF7C-6A4BFA04B6EA}">
  <dimension ref="A1:I18"/>
  <sheetViews>
    <sheetView topLeftCell="B1" workbookViewId="0">
      <selection activeCell="G2" sqref="G2"/>
    </sheetView>
  </sheetViews>
  <sheetFormatPr defaultRowHeight="14.5" x14ac:dyDescent="0.35"/>
  <cols>
    <col min="1" max="1" width="25.54296875" bestFit="1" customWidth="1"/>
    <col min="2" max="2" width="80.1796875" bestFit="1" customWidth="1"/>
    <col min="3" max="3" width="10.54296875" bestFit="1" customWidth="1"/>
    <col min="4" max="4" width="11.453125" bestFit="1" customWidth="1"/>
    <col min="5" max="5" width="12.26953125" bestFit="1" customWidth="1"/>
    <col min="6" max="6" width="13.26953125" bestFit="1" customWidth="1"/>
    <col min="7" max="7" width="16.36328125" customWidth="1"/>
    <col min="8" max="8" width="13.36328125" customWidth="1"/>
  </cols>
  <sheetData>
    <row r="1" spans="1:9" x14ac:dyDescent="0.35">
      <c r="A1" t="s">
        <v>11</v>
      </c>
      <c r="B1" t="s">
        <v>110</v>
      </c>
      <c r="C1" t="s">
        <v>105</v>
      </c>
      <c r="D1" t="s">
        <v>106</v>
      </c>
      <c r="E1" t="s">
        <v>108</v>
      </c>
      <c r="F1" t="s">
        <v>109</v>
      </c>
      <c r="G1" t="s">
        <v>112</v>
      </c>
      <c r="H1" t="s">
        <v>113</v>
      </c>
      <c r="I1" t="s">
        <v>114</v>
      </c>
    </row>
    <row r="2" spans="1:9" x14ac:dyDescent="0.35">
      <c r="A2" t="s">
        <v>33</v>
      </c>
      <c r="B2" t="s">
        <v>75</v>
      </c>
      <c r="C2">
        <v>4567</v>
      </c>
      <c r="D2">
        <v>23</v>
      </c>
      <c r="E2">
        <v>4756</v>
      </c>
      <c r="F2">
        <v>26</v>
      </c>
      <c r="G2">
        <f>C2+E2</f>
        <v>9323</v>
      </c>
      <c r="H2">
        <f>(C2/G2)*100</f>
        <v>48.986377775394189</v>
      </c>
      <c r="I2">
        <f>(E2/G2)*100</f>
        <v>51.013622224605811</v>
      </c>
    </row>
    <row r="3" spans="1:9" x14ac:dyDescent="0.35">
      <c r="A3" t="s">
        <v>33</v>
      </c>
      <c r="B3" t="s">
        <v>57</v>
      </c>
      <c r="C3">
        <v>2156</v>
      </c>
      <c r="D3">
        <v>16</v>
      </c>
      <c r="E3">
        <v>87479</v>
      </c>
      <c r="F3">
        <v>37</v>
      </c>
      <c r="G3">
        <f t="shared" ref="G3:G18" si="0">C3+E3</f>
        <v>89635</v>
      </c>
      <c r="H3">
        <f t="shared" ref="H3:H18" si="1">(C3/G3)*100</f>
        <v>2.405310425614994</v>
      </c>
      <c r="I3">
        <f t="shared" ref="I3:I18" si="2">(E3/G3)*100</f>
        <v>97.594689574385001</v>
      </c>
    </row>
    <row r="4" spans="1:9" x14ac:dyDescent="0.35">
      <c r="A4" t="s">
        <v>33</v>
      </c>
      <c r="B4" t="s">
        <v>34</v>
      </c>
      <c r="C4">
        <v>8</v>
      </c>
      <c r="D4">
        <v>6</v>
      </c>
      <c r="E4">
        <v>8</v>
      </c>
      <c r="F4">
        <v>9</v>
      </c>
      <c r="G4">
        <f t="shared" si="0"/>
        <v>16</v>
      </c>
      <c r="H4">
        <f t="shared" si="1"/>
        <v>50</v>
      </c>
      <c r="I4">
        <f t="shared" si="2"/>
        <v>50</v>
      </c>
    </row>
    <row r="5" spans="1:9" x14ac:dyDescent="0.35">
      <c r="A5" t="s">
        <v>39</v>
      </c>
      <c r="B5" t="s">
        <v>73</v>
      </c>
      <c r="C5">
        <v>0</v>
      </c>
      <c r="D5">
        <v>0</v>
      </c>
      <c r="E5">
        <v>40</v>
      </c>
      <c r="F5">
        <v>8</v>
      </c>
      <c r="G5">
        <f t="shared" si="0"/>
        <v>40</v>
      </c>
      <c r="H5">
        <f t="shared" si="1"/>
        <v>0</v>
      </c>
      <c r="I5">
        <f t="shared" si="2"/>
        <v>100</v>
      </c>
    </row>
    <row r="6" spans="1:9" x14ac:dyDescent="0.35">
      <c r="A6" t="s">
        <v>39</v>
      </c>
      <c r="B6" t="s">
        <v>40</v>
      </c>
      <c r="C6">
        <v>0</v>
      </c>
      <c r="D6">
        <v>0</v>
      </c>
      <c r="E6">
        <v>45</v>
      </c>
      <c r="F6">
        <v>5</v>
      </c>
      <c r="G6">
        <f t="shared" si="0"/>
        <v>45</v>
      </c>
      <c r="H6">
        <f t="shared" si="1"/>
        <v>0</v>
      </c>
      <c r="I6">
        <f t="shared" si="2"/>
        <v>100</v>
      </c>
    </row>
    <row r="7" spans="1:9" x14ac:dyDescent="0.35">
      <c r="A7" t="s">
        <v>39</v>
      </c>
      <c r="B7" t="s">
        <v>67</v>
      </c>
      <c r="C7">
        <v>34</v>
      </c>
      <c r="D7">
        <v>4</v>
      </c>
      <c r="E7">
        <v>5</v>
      </c>
      <c r="F7">
        <v>4</v>
      </c>
      <c r="G7">
        <f t="shared" si="0"/>
        <v>39</v>
      </c>
      <c r="H7">
        <f t="shared" si="1"/>
        <v>87.179487179487182</v>
      </c>
      <c r="I7">
        <f t="shared" si="2"/>
        <v>12.820512820512819</v>
      </c>
    </row>
    <row r="8" spans="1:9" x14ac:dyDescent="0.35">
      <c r="A8" t="s">
        <v>39</v>
      </c>
      <c r="B8" t="s">
        <v>47</v>
      </c>
      <c r="C8">
        <v>1</v>
      </c>
      <c r="D8">
        <v>2</v>
      </c>
      <c r="E8">
        <v>3</v>
      </c>
      <c r="F8">
        <v>4</v>
      </c>
      <c r="G8">
        <f t="shared" si="0"/>
        <v>4</v>
      </c>
      <c r="H8">
        <f t="shared" si="1"/>
        <v>25</v>
      </c>
      <c r="I8">
        <f t="shared" si="2"/>
        <v>75</v>
      </c>
    </row>
    <row r="9" spans="1:9" x14ac:dyDescent="0.35">
      <c r="A9" t="s">
        <v>82</v>
      </c>
      <c r="B9" t="s">
        <v>83</v>
      </c>
      <c r="C9">
        <v>5</v>
      </c>
      <c r="D9">
        <v>5</v>
      </c>
      <c r="E9">
        <v>5</v>
      </c>
      <c r="F9">
        <v>6</v>
      </c>
      <c r="G9">
        <f t="shared" si="0"/>
        <v>10</v>
      </c>
      <c r="H9">
        <f t="shared" si="1"/>
        <v>50</v>
      </c>
      <c r="I9">
        <f t="shared" si="2"/>
        <v>50</v>
      </c>
    </row>
    <row r="10" spans="1:9" x14ac:dyDescent="0.35">
      <c r="A10" t="s">
        <v>82</v>
      </c>
      <c r="B10" t="s">
        <v>98</v>
      </c>
      <c r="C10">
        <v>24242</v>
      </c>
      <c r="D10">
        <v>3</v>
      </c>
      <c r="E10">
        <v>531</v>
      </c>
      <c r="F10">
        <v>5</v>
      </c>
      <c r="G10">
        <f t="shared" si="0"/>
        <v>24773</v>
      </c>
      <c r="H10">
        <f t="shared" si="1"/>
        <v>97.856537359221733</v>
      </c>
      <c r="I10">
        <f t="shared" si="2"/>
        <v>2.1434626407782669</v>
      </c>
    </row>
    <row r="11" spans="1:9" x14ac:dyDescent="0.35">
      <c r="A11" t="s">
        <v>69</v>
      </c>
      <c r="B11" t="s">
        <v>70</v>
      </c>
      <c r="C11">
        <v>43</v>
      </c>
      <c r="D11">
        <v>2</v>
      </c>
      <c r="E11">
        <v>113</v>
      </c>
      <c r="F11">
        <v>12</v>
      </c>
      <c r="G11">
        <f t="shared" si="0"/>
        <v>156</v>
      </c>
      <c r="H11">
        <f t="shared" si="1"/>
        <v>27.564102564102566</v>
      </c>
      <c r="I11">
        <f t="shared" si="2"/>
        <v>72.435897435897431</v>
      </c>
    </row>
    <row r="12" spans="1:9" x14ac:dyDescent="0.35">
      <c r="A12" t="s">
        <v>81</v>
      </c>
      <c r="B12" t="s">
        <v>81</v>
      </c>
      <c r="C12">
        <v>3287</v>
      </c>
      <c r="D12">
        <v>7</v>
      </c>
      <c r="E12">
        <v>2347</v>
      </c>
      <c r="F12">
        <v>10</v>
      </c>
      <c r="G12">
        <f t="shared" si="0"/>
        <v>5634</v>
      </c>
      <c r="H12">
        <f t="shared" si="1"/>
        <v>58.342208022719198</v>
      </c>
      <c r="I12">
        <f t="shared" si="2"/>
        <v>41.657791977280795</v>
      </c>
    </row>
    <row r="13" spans="1:9" x14ac:dyDescent="0.35">
      <c r="A13" t="s">
        <v>28</v>
      </c>
      <c r="B13" t="s">
        <v>29</v>
      </c>
      <c r="C13">
        <v>8</v>
      </c>
      <c r="D13">
        <v>9</v>
      </c>
      <c r="E13">
        <v>8</v>
      </c>
      <c r="F13">
        <v>9</v>
      </c>
      <c r="G13">
        <f t="shared" si="0"/>
        <v>16</v>
      </c>
      <c r="H13">
        <f t="shared" si="1"/>
        <v>50</v>
      </c>
      <c r="I13">
        <f t="shared" si="2"/>
        <v>50</v>
      </c>
    </row>
    <row r="14" spans="1:9" x14ac:dyDescent="0.35">
      <c r="A14" t="s">
        <v>28</v>
      </c>
      <c r="B14" t="s">
        <v>89</v>
      </c>
      <c r="C14">
        <v>433434</v>
      </c>
      <c r="D14">
        <v>5</v>
      </c>
      <c r="E14">
        <v>43434</v>
      </c>
      <c r="F14">
        <v>5</v>
      </c>
      <c r="G14">
        <f t="shared" si="0"/>
        <v>476868</v>
      </c>
      <c r="H14">
        <f t="shared" si="1"/>
        <v>90.891819119756406</v>
      </c>
      <c r="I14">
        <f t="shared" si="2"/>
        <v>9.1081808802435891</v>
      </c>
    </row>
    <row r="15" spans="1:9" x14ac:dyDescent="0.35">
      <c r="A15" t="s">
        <v>44</v>
      </c>
      <c r="B15" t="s">
        <v>85</v>
      </c>
      <c r="C15">
        <v>4343</v>
      </c>
      <c r="D15">
        <v>4</v>
      </c>
      <c r="E15">
        <v>43434</v>
      </c>
      <c r="F15">
        <v>5</v>
      </c>
      <c r="G15">
        <f t="shared" si="0"/>
        <v>47777</v>
      </c>
      <c r="H15">
        <f t="shared" si="1"/>
        <v>9.0901479791531479</v>
      </c>
      <c r="I15">
        <f t="shared" si="2"/>
        <v>90.909852020846841</v>
      </c>
    </row>
    <row r="16" spans="1:9" x14ac:dyDescent="0.35">
      <c r="A16" t="s">
        <v>44</v>
      </c>
      <c r="B16" t="s">
        <v>45</v>
      </c>
      <c r="C16">
        <v>0</v>
      </c>
      <c r="D16">
        <v>0</v>
      </c>
      <c r="E16">
        <v>9</v>
      </c>
      <c r="F16">
        <v>7</v>
      </c>
      <c r="G16">
        <f t="shared" si="0"/>
        <v>9</v>
      </c>
      <c r="H16">
        <f t="shared" si="1"/>
        <v>0</v>
      </c>
      <c r="I16">
        <f t="shared" si="2"/>
        <v>100</v>
      </c>
    </row>
    <row r="17" spans="1:9" x14ac:dyDescent="0.35">
      <c r="A17" t="s">
        <v>44</v>
      </c>
      <c r="B17" t="s">
        <v>56</v>
      </c>
      <c r="C17">
        <v>20</v>
      </c>
      <c r="D17">
        <v>2</v>
      </c>
      <c r="E17">
        <v>3</v>
      </c>
      <c r="F17">
        <v>5</v>
      </c>
      <c r="G17">
        <f t="shared" si="0"/>
        <v>23</v>
      </c>
      <c r="H17">
        <f t="shared" si="1"/>
        <v>86.956521739130437</v>
      </c>
      <c r="I17">
        <f t="shared" si="2"/>
        <v>13.043478260869565</v>
      </c>
    </row>
    <row r="18" spans="1:9" x14ac:dyDescent="0.35">
      <c r="A18" t="s">
        <v>44</v>
      </c>
      <c r="B18" t="s">
        <v>54</v>
      </c>
      <c r="C18">
        <v>20</v>
      </c>
      <c r="D18">
        <v>2</v>
      </c>
      <c r="E18">
        <v>20</v>
      </c>
      <c r="F18">
        <v>1</v>
      </c>
      <c r="G18">
        <f t="shared" si="0"/>
        <v>40</v>
      </c>
      <c r="H18">
        <f t="shared" si="1"/>
        <v>50</v>
      </c>
      <c r="I18">
        <f t="shared" si="2"/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89DF-BDC3-4049-9D9D-00E92F5B1878}">
  <dimension ref="A1:Y25"/>
  <sheetViews>
    <sheetView workbookViewId="0">
      <selection activeCell="Q4" sqref="Q4"/>
    </sheetView>
  </sheetViews>
  <sheetFormatPr defaultRowHeight="14.5" x14ac:dyDescent="0.35"/>
  <cols>
    <col min="1" max="1" width="2.81640625" bestFit="1" customWidth="1"/>
    <col min="2" max="2" width="11.81640625" bestFit="1" customWidth="1"/>
    <col min="3" max="3" width="14.7265625" bestFit="1" customWidth="1"/>
    <col min="4" max="4" width="21.90625" bestFit="1" customWidth="1"/>
    <col min="5" max="5" width="15" bestFit="1" customWidth="1"/>
    <col min="6" max="6" width="21.90625" bestFit="1" customWidth="1"/>
    <col min="7" max="7" width="31.54296875" bestFit="1" customWidth="1"/>
    <col min="8" max="8" width="11.26953125" bestFit="1" customWidth="1"/>
    <col min="9" max="9" width="11.90625" bestFit="1" customWidth="1"/>
    <col min="10" max="10" width="10.81640625" bestFit="1" customWidth="1"/>
    <col min="11" max="11" width="5.81640625" bestFit="1" customWidth="1"/>
    <col min="12" max="12" width="25.54296875" bestFit="1" customWidth="1"/>
    <col min="13" max="13" width="46.54296875" bestFit="1" customWidth="1"/>
    <col min="14" max="14" width="39.1796875" bestFit="1" customWidth="1"/>
    <col min="15" max="15" width="80.1796875" bestFit="1" customWidth="1"/>
    <col min="16" max="16" width="42.08984375" bestFit="1" customWidth="1"/>
    <col min="17" max="17" width="34.6328125" bestFit="1" customWidth="1"/>
    <col min="18" max="18" width="32.7265625" bestFit="1" customWidth="1"/>
    <col min="19" max="19" width="12.08984375" bestFit="1" customWidth="1"/>
    <col min="20" max="20" width="23.90625" bestFit="1" customWidth="1"/>
    <col min="21" max="21" width="71.08984375" bestFit="1" customWidth="1"/>
    <col min="22" max="22" width="29.81640625" bestFit="1" customWidth="1"/>
    <col min="23" max="23" width="73.90625" bestFit="1" customWidth="1"/>
    <col min="24" max="24" width="32.6328125" bestFit="1" customWidth="1"/>
    <col min="25" max="25" width="80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111</v>
      </c>
    </row>
    <row r="2" spans="1:25" x14ac:dyDescent="0.35">
      <c r="A2">
        <v>43</v>
      </c>
      <c r="B2">
        <v>46029.820300925901</v>
      </c>
      <c r="C2">
        <v>46029.8208101852</v>
      </c>
      <c r="D2" t="s">
        <v>24</v>
      </c>
      <c r="E2" t="s">
        <v>25</v>
      </c>
      <c r="G2" t="s">
        <v>78</v>
      </c>
      <c r="H2">
        <v>2403957</v>
      </c>
      <c r="I2" t="s">
        <v>26</v>
      </c>
      <c r="J2">
        <v>1000242686</v>
      </c>
      <c r="K2">
        <v>46029</v>
      </c>
      <c r="L2" t="s">
        <v>33</v>
      </c>
      <c r="M2" t="s">
        <v>75</v>
      </c>
      <c r="T2" t="s">
        <v>30</v>
      </c>
      <c r="U2">
        <v>45</v>
      </c>
      <c r="V2">
        <v>4</v>
      </c>
      <c r="W2">
        <v>56</v>
      </c>
      <c r="X2">
        <v>5</v>
      </c>
      <c r="Y2" t="s">
        <v>75</v>
      </c>
    </row>
    <row r="3" spans="1:25" x14ac:dyDescent="0.35">
      <c r="A3">
        <v>42</v>
      </c>
      <c r="B3">
        <v>46029.805983796301</v>
      </c>
      <c r="C3">
        <v>46029.808993055602</v>
      </c>
      <c r="D3" t="s">
        <v>101</v>
      </c>
      <c r="E3" t="s">
        <v>102</v>
      </c>
      <c r="G3" t="s">
        <v>78</v>
      </c>
      <c r="H3">
        <v>275715</v>
      </c>
      <c r="I3" t="s">
        <v>26</v>
      </c>
      <c r="J3">
        <v>1000242686</v>
      </c>
      <c r="K3">
        <v>46029</v>
      </c>
      <c r="L3" t="s">
        <v>33</v>
      </c>
      <c r="M3" t="s">
        <v>57</v>
      </c>
      <c r="T3" t="s">
        <v>30</v>
      </c>
      <c r="U3">
        <v>189</v>
      </c>
      <c r="V3">
        <v>1</v>
      </c>
      <c r="W3">
        <v>90</v>
      </c>
      <c r="X3">
        <v>3</v>
      </c>
      <c r="Y3" t="s">
        <v>57</v>
      </c>
    </row>
    <row r="4" spans="1:25" x14ac:dyDescent="0.35">
      <c r="A4">
        <v>41</v>
      </c>
      <c r="B4">
        <v>46029.772037037001</v>
      </c>
      <c r="C4">
        <v>46029.772395833301</v>
      </c>
      <c r="D4" t="s">
        <v>24</v>
      </c>
      <c r="E4" t="s">
        <v>25</v>
      </c>
      <c r="G4" t="s">
        <v>78</v>
      </c>
      <c r="H4">
        <v>34322</v>
      </c>
      <c r="I4" t="s">
        <v>26</v>
      </c>
      <c r="J4">
        <v>1000242686</v>
      </c>
      <c r="K4">
        <v>46029</v>
      </c>
      <c r="L4" t="s">
        <v>82</v>
      </c>
      <c r="Q4" t="s">
        <v>98</v>
      </c>
      <c r="T4" t="s">
        <v>30</v>
      </c>
      <c r="U4">
        <v>24242</v>
      </c>
      <c r="V4">
        <v>3</v>
      </c>
      <c r="W4">
        <v>531</v>
      </c>
      <c r="X4">
        <v>5</v>
      </c>
      <c r="Y4" t="s">
        <v>98</v>
      </c>
    </row>
    <row r="5" spans="1:25" x14ac:dyDescent="0.35">
      <c r="A5">
        <v>40</v>
      </c>
      <c r="B5">
        <v>46029.771701388898</v>
      </c>
      <c r="C5">
        <v>46029.772013888898</v>
      </c>
      <c r="D5" t="s">
        <v>24</v>
      </c>
      <c r="E5" t="s">
        <v>25</v>
      </c>
      <c r="G5" t="s">
        <v>78</v>
      </c>
      <c r="H5">
        <v>343123</v>
      </c>
      <c r="I5" t="s">
        <v>26</v>
      </c>
      <c r="J5">
        <v>1000242686</v>
      </c>
      <c r="K5">
        <v>46029</v>
      </c>
      <c r="L5" t="s">
        <v>81</v>
      </c>
      <c r="R5" t="s">
        <v>81</v>
      </c>
      <c r="T5" t="s">
        <v>30</v>
      </c>
      <c r="U5">
        <v>3242</v>
      </c>
      <c r="V5">
        <v>3</v>
      </c>
      <c r="W5">
        <v>2342</v>
      </c>
      <c r="X5">
        <v>5</v>
      </c>
      <c r="Y5" t="s">
        <v>81</v>
      </c>
    </row>
    <row r="6" spans="1:25" x14ac:dyDescent="0.35">
      <c r="A6">
        <v>39</v>
      </c>
      <c r="B6">
        <v>46029.7711921296</v>
      </c>
      <c r="C6">
        <v>46029.771689814799</v>
      </c>
      <c r="D6" t="s">
        <v>24</v>
      </c>
      <c r="E6" t="s">
        <v>25</v>
      </c>
      <c r="G6" t="s">
        <v>78</v>
      </c>
      <c r="H6">
        <v>43343434</v>
      </c>
      <c r="I6" t="s">
        <v>26</v>
      </c>
      <c r="J6">
        <v>1000242686</v>
      </c>
      <c r="K6">
        <v>46030</v>
      </c>
      <c r="L6" t="s">
        <v>33</v>
      </c>
      <c r="M6" t="s">
        <v>75</v>
      </c>
      <c r="T6" t="s">
        <v>30</v>
      </c>
      <c r="U6">
        <v>4332</v>
      </c>
      <c r="V6">
        <v>3</v>
      </c>
      <c r="W6">
        <v>4532</v>
      </c>
      <c r="X6">
        <v>3</v>
      </c>
      <c r="Y6" t="s">
        <v>75</v>
      </c>
    </row>
    <row r="7" spans="1:25" x14ac:dyDescent="0.35">
      <c r="A7">
        <v>38</v>
      </c>
      <c r="B7">
        <v>46029.770810185197</v>
      </c>
      <c r="C7">
        <v>46029.771168981497</v>
      </c>
      <c r="D7" t="s">
        <v>24</v>
      </c>
      <c r="E7" t="s">
        <v>25</v>
      </c>
      <c r="G7" t="s">
        <v>78</v>
      </c>
      <c r="H7">
        <v>43434343</v>
      </c>
      <c r="I7" t="s">
        <v>26</v>
      </c>
      <c r="J7">
        <v>1000242686</v>
      </c>
      <c r="K7">
        <v>46030</v>
      </c>
      <c r="L7" t="s">
        <v>28</v>
      </c>
      <c r="S7" t="s">
        <v>89</v>
      </c>
      <c r="T7" t="s">
        <v>30</v>
      </c>
      <c r="U7">
        <v>433434</v>
      </c>
      <c r="V7">
        <v>5</v>
      </c>
      <c r="W7">
        <v>43434</v>
      </c>
      <c r="X7">
        <v>5</v>
      </c>
      <c r="Y7" t="s">
        <v>89</v>
      </c>
    </row>
    <row r="8" spans="1:25" x14ac:dyDescent="0.35">
      <c r="A8">
        <v>37</v>
      </c>
      <c r="B8">
        <v>46029.770428240699</v>
      </c>
      <c r="C8">
        <v>46029.770798611098</v>
      </c>
      <c r="D8" t="s">
        <v>24</v>
      </c>
      <c r="E8" t="s">
        <v>25</v>
      </c>
      <c r="G8" t="s">
        <v>78</v>
      </c>
      <c r="H8">
        <v>3432323</v>
      </c>
      <c r="I8" t="s">
        <v>26</v>
      </c>
      <c r="J8">
        <v>1000242686</v>
      </c>
      <c r="K8">
        <v>46030</v>
      </c>
      <c r="L8" t="s">
        <v>44</v>
      </c>
      <c r="P8" t="s">
        <v>85</v>
      </c>
      <c r="T8" t="s">
        <v>30</v>
      </c>
      <c r="U8">
        <v>4343</v>
      </c>
      <c r="V8">
        <v>4</v>
      </c>
      <c r="W8">
        <v>43434</v>
      </c>
      <c r="X8">
        <v>5</v>
      </c>
      <c r="Y8" t="s">
        <v>85</v>
      </c>
    </row>
    <row r="9" spans="1:25" x14ac:dyDescent="0.35">
      <c r="A9">
        <v>36</v>
      </c>
      <c r="B9">
        <v>46029.770092592596</v>
      </c>
      <c r="C9">
        <v>46029.770416666703</v>
      </c>
      <c r="D9" t="s">
        <v>24</v>
      </c>
      <c r="E9" t="s">
        <v>25</v>
      </c>
      <c r="G9" t="s">
        <v>78</v>
      </c>
      <c r="H9">
        <v>2403957</v>
      </c>
      <c r="I9" t="s">
        <v>26</v>
      </c>
      <c r="J9">
        <v>1000242686</v>
      </c>
      <c r="K9">
        <v>46029</v>
      </c>
      <c r="L9" t="s">
        <v>82</v>
      </c>
      <c r="Q9" t="s">
        <v>83</v>
      </c>
      <c r="T9" t="s">
        <v>30</v>
      </c>
      <c r="U9">
        <v>5</v>
      </c>
      <c r="V9">
        <v>5</v>
      </c>
      <c r="W9">
        <v>5</v>
      </c>
      <c r="X9">
        <v>6</v>
      </c>
      <c r="Y9" t="s">
        <v>83</v>
      </c>
    </row>
    <row r="10" spans="1:25" x14ac:dyDescent="0.35">
      <c r="A10">
        <v>35</v>
      </c>
      <c r="B10">
        <v>46029.769108796303</v>
      </c>
      <c r="C10">
        <v>46029.769583333298</v>
      </c>
      <c r="D10" t="s">
        <v>24</v>
      </c>
      <c r="E10" t="s">
        <v>25</v>
      </c>
      <c r="G10" t="s">
        <v>78</v>
      </c>
      <c r="H10">
        <v>2403957</v>
      </c>
      <c r="I10" t="s">
        <v>26</v>
      </c>
      <c r="J10">
        <v>1000242686</v>
      </c>
      <c r="K10">
        <v>46029</v>
      </c>
      <c r="L10" t="s">
        <v>81</v>
      </c>
      <c r="R10" t="s">
        <v>81</v>
      </c>
      <c r="T10" t="s">
        <v>30</v>
      </c>
      <c r="U10">
        <v>45</v>
      </c>
      <c r="V10">
        <v>4</v>
      </c>
      <c r="W10">
        <v>5</v>
      </c>
      <c r="X10">
        <v>5</v>
      </c>
      <c r="Y10" t="s">
        <v>81</v>
      </c>
    </row>
    <row r="11" spans="1:25" x14ac:dyDescent="0.35">
      <c r="A11">
        <v>34</v>
      </c>
      <c r="B11">
        <v>46029.724814814799</v>
      </c>
      <c r="C11">
        <v>46029.7253935185</v>
      </c>
      <c r="D11" t="s">
        <v>36</v>
      </c>
      <c r="E11" t="s">
        <v>37</v>
      </c>
      <c r="G11" t="s">
        <v>78</v>
      </c>
      <c r="H11">
        <v>12345</v>
      </c>
      <c r="I11" t="s">
        <v>26</v>
      </c>
      <c r="J11">
        <v>1000242686</v>
      </c>
      <c r="K11">
        <v>46029</v>
      </c>
      <c r="L11" t="s">
        <v>69</v>
      </c>
      <c r="O11" t="s">
        <v>70</v>
      </c>
      <c r="T11" t="s">
        <v>30</v>
      </c>
      <c r="U11">
        <v>43</v>
      </c>
      <c r="V11">
        <v>2</v>
      </c>
      <c r="W11">
        <v>43</v>
      </c>
      <c r="X11">
        <v>5</v>
      </c>
      <c r="Y11" t="s">
        <v>70</v>
      </c>
    </row>
    <row r="12" spans="1:25" x14ac:dyDescent="0.35">
      <c r="A12">
        <v>33</v>
      </c>
      <c r="B12">
        <v>46029.701701388898</v>
      </c>
      <c r="C12">
        <v>46029.702037037001</v>
      </c>
      <c r="D12" t="s">
        <v>24</v>
      </c>
      <c r="E12" t="s">
        <v>25</v>
      </c>
      <c r="H12">
        <v>2403957</v>
      </c>
      <c r="I12" t="s">
        <v>26</v>
      </c>
      <c r="J12">
        <v>1000242686</v>
      </c>
      <c r="K12">
        <v>46030</v>
      </c>
      <c r="L12" t="s">
        <v>33</v>
      </c>
      <c r="M12" t="s">
        <v>75</v>
      </c>
      <c r="T12" t="s">
        <v>30</v>
      </c>
      <c r="U12">
        <v>67</v>
      </c>
      <c r="V12">
        <v>5</v>
      </c>
      <c r="W12">
        <v>67</v>
      </c>
      <c r="X12">
        <v>7</v>
      </c>
      <c r="Y12" t="s">
        <v>75</v>
      </c>
    </row>
    <row r="13" spans="1:25" x14ac:dyDescent="0.35">
      <c r="A13">
        <v>30</v>
      </c>
      <c r="B13">
        <v>46029.697141203702</v>
      </c>
      <c r="C13">
        <v>46029.697951388902</v>
      </c>
      <c r="D13" t="s">
        <v>24</v>
      </c>
      <c r="E13" t="s">
        <v>25</v>
      </c>
      <c r="H13">
        <v>2403957</v>
      </c>
      <c r="I13" t="s">
        <v>26</v>
      </c>
      <c r="J13">
        <v>1000242686</v>
      </c>
      <c r="K13">
        <v>46029</v>
      </c>
      <c r="L13" t="s">
        <v>39</v>
      </c>
      <c r="N13" t="s">
        <v>73</v>
      </c>
      <c r="T13" t="s">
        <v>41</v>
      </c>
      <c r="W13">
        <v>40</v>
      </c>
      <c r="X13">
        <v>8</v>
      </c>
      <c r="Y13" t="s">
        <v>73</v>
      </c>
    </row>
    <row r="14" spans="1:25" x14ac:dyDescent="0.35">
      <c r="A14">
        <v>29</v>
      </c>
      <c r="B14">
        <v>46028.805393518502</v>
      </c>
      <c r="C14">
        <v>46028.805775462999</v>
      </c>
      <c r="D14" t="s">
        <v>24</v>
      </c>
      <c r="E14" t="s">
        <v>25</v>
      </c>
      <c r="I14" t="s">
        <v>26</v>
      </c>
      <c r="J14">
        <v>1000242686</v>
      </c>
      <c r="K14">
        <v>46035</v>
      </c>
      <c r="L14" t="s">
        <v>69</v>
      </c>
      <c r="O14" t="s">
        <v>70</v>
      </c>
      <c r="T14" t="s">
        <v>41</v>
      </c>
      <c r="W14">
        <v>70</v>
      </c>
      <c r="X14">
        <v>7</v>
      </c>
      <c r="Y14" t="s">
        <v>70</v>
      </c>
    </row>
    <row r="15" spans="1:25" x14ac:dyDescent="0.35">
      <c r="A15">
        <v>28</v>
      </c>
      <c r="B15">
        <v>46028.665671296301</v>
      </c>
      <c r="C15">
        <v>46028.665972222203</v>
      </c>
      <c r="D15" t="s">
        <v>36</v>
      </c>
      <c r="E15" t="s">
        <v>37</v>
      </c>
      <c r="I15" t="s">
        <v>26</v>
      </c>
      <c r="J15">
        <v>1000242686</v>
      </c>
      <c r="K15">
        <v>46031</v>
      </c>
      <c r="L15" t="s">
        <v>39</v>
      </c>
      <c r="N15" t="s">
        <v>67</v>
      </c>
      <c r="T15" t="s">
        <v>30</v>
      </c>
      <c r="U15">
        <v>34</v>
      </c>
      <c r="V15">
        <v>4</v>
      </c>
      <c r="W15">
        <v>5</v>
      </c>
      <c r="X15">
        <v>4</v>
      </c>
      <c r="Y15" t="s">
        <v>67</v>
      </c>
    </row>
    <row r="16" spans="1:25" x14ac:dyDescent="0.35">
      <c r="A16">
        <v>27</v>
      </c>
      <c r="B16">
        <v>46028.665300925903</v>
      </c>
      <c r="C16">
        <v>46028.665671296301</v>
      </c>
      <c r="D16" t="s">
        <v>52</v>
      </c>
      <c r="E16" t="s">
        <v>53</v>
      </c>
      <c r="I16" t="s">
        <v>26</v>
      </c>
      <c r="J16">
        <v>1000242686</v>
      </c>
      <c r="K16">
        <v>46034</v>
      </c>
      <c r="L16" t="s">
        <v>33</v>
      </c>
      <c r="M16" t="s">
        <v>57</v>
      </c>
      <c r="T16" t="s">
        <v>30</v>
      </c>
      <c r="U16">
        <v>545</v>
      </c>
      <c r="V16">
        <v>4</v>
      </c>
      <c r="W16">
        <v>9878</v>
      </c>
      <c r="X16">
        <v>10</v>
      </c>
      <c r="Y16" t="s">
        <v>57</v>
      </c>
    </row>
    <row r="17" spans="1:25" x14ac:dyDescent="0.35">
      <c r="A17">
        <v>26</v>
      </c>
      <c r="B17">
        <v>46028.664884259299</v>
      </c>
      <c r="C17">
        <v>46028.6652777778</v>
      </c>
      <c r="D17" t="s">
        <v>52</v>
      </c>
      <c r="E17" t="s">
        <v>53</v>
      </c>
      <c r="I17" t="s">
        <v>26</v>
      </c>
      <c r="J17">
        <v>1000242686</v>
      </c>
      <c r="K17">
        <v>46031</v>
      </c>
      <c r="L17" t="s">
        <v>33</v>
      </c>
      <c r="M17" t="s">
        <v>57</v>
      </c>
      <c r="T17" t="s">
        <v>30</v>
      </c>
      <c r="U17">
        <v>656</v>
      </c>
      <c r="V17">
        <v>4</v>
      </c>
      <c r="W17">
        <v>657</v>
      </c>
      <c r="X17">
        <v>10</v>
      </c>
      <c r="Y17" t="s">
        <v>57</v>
      </c>
    </row>
    <row r="18" spans="1:25" x14ac:dyDescent="0.35">
      <c r="A18">
        <v>25</v>
      </c>
      <c r="B18">
        <v>46028.664432870399</v>
      </c>
      <c r="C18">
        <v>46028.664849537003</v>
      </c>
      <c r="D18" t="s">
        <v>52</v>
      </c>
      <c r="E18" t="s">
        <v>53</v>
      </c>
      <c r="I18" t="s">
        <v>26</v>
      </c>
      <c r="J18">
        <v>1000242686</v>
      </c>
      <c r="K18">
        <v>46030</v>
      </c>
      <c r="L18" t="s">
        <v>33</v>
      </c>
      <c r="M18" t="s">
        <v>57</v>
      </c>
      <c r="T18" t="s">
        <v>30</v>
      </c>
      <c r="U18">
        <v>676</v>
      </c>
      <c r="V18">
        <v>2</v>
      </c>
      <c r="W18">
        <v>76756</v>
      </c>
      <c r="X18">
        <v>8</v>
      </c>
      <c r="Y18" t="s">
        <v>57</v>
      </c>
    </row>
    <row r="19" spans="1:25" x14ac:dyDescent="0.35">
      <c r="A19">
        <v>23</v>
      </c>
      <c r="B19">
        <v>46028.645196759302</v>
      </c>
      <c r="C19">
        <v>46028.645810185197</v>
      </c>
      <c r="D19" t="s">
        <v>36</v>
      </c>
      <c r="E19" t="s">
        <v>37</v>
      </c>
      <c r="I19" t="s">
        <v>26</v>
      </c>
      <c r="J19">
        <v>1000242686</v>
      </c>
      <c r="K19">
        <v>46034</v>
      </c>
      <c r="L19" t="s">
        <v>44</v>
      </c>
      <c r="P19" t="s">
        <v>56</v>
      </c>
      <c r="T19" t="s">
        <v>30</v>
      </c>
      <c r="U19">
        <v>20</v>
      </c>
      <c r="V19">
        <v>2</v>
      </c>
      <c r="W19">
        <v>3</v>
      </c>
      <c r="X19">
        <v>5</v>
      </c>
      <c r="Y19" t="s">
        <v>56</v>
      </c>
    </row>
    <row r="20" spans="1:25" x14ac:dyDescent="0.35">
      <c r="A20">
        <v>22</v>
      </c>
      <c r="B20">
        <v>46028.642581018503</v>
      </c>
      <c r="C20">
        <v>46028.643287036997</v>
      </c>
      <c r="D20" t="s">
        <v>52</v>
      </c>
      <c r="E20" t="s">
        <v>53</v>
      </c>
      <c r="F20" t="s">
        <v>38</v>
      </c>
      <c r="I20" t="s">
        <v>26</v>
      </c>
      <c r="J20">
        <v>1000242686</v>
      </c>
      <c r="K20">
        <v>46029</v>
      </c>
      <c r="L20" t="s">
        <v>44</v>
      </c>
      <c r="P20" t="s">
        <v>54</v>
      </c>
      <c r="T20" t="s">
        <v>30</v>
      </c>
      <c r="U20">
        <v>20</v>
      </c>
      <c r="V20">
        <v>2</v>
      </c>
      <c r="W20">
        <v>20</v>
      </c>
      <c r="X20">
        <v>1</v>
      </c>
      <c r="Y20" t="s">
        <v>54</v>
      </c>
    </row>
    <row r="21" spans="1:25" x14ac:dyDescent="0.35">
      <c r="A21">
        <v>21</v>
      </c>
      <c r="B21">
        <v>46028.638055555602</v>
      </c>
      <c r="C21">
        <v>46028.638425925899</v>
      </c>
      <c r="D21" t="s">
        <v>24</v>
      </c>
      <c r="E21" t="s">
        <v>25</v>
      </c>
      <c r="F21" t="s">
        <v>38</v>
      </c>
      <c r="I21" t="s">
        <v>26</v>
      </c>
      <c r="J21">
        <v>1000242686</v>
      </c>
      <c r="K21">
        <v>46031</v>
      </c>
      <c r="L21" t="s">
        <v>39</v>
      </c>
      <c r="N21" t="s">
        <v>47</v>
      </c>
      <c r="T21" t="s">
        <v>30</v>
      </c>
      <c r="U21">
        <v>1</v>
      </c>
      <c r="V21">
        <v>2</v>
      </c>
      <c r="W21">
        <v>3</v>
      </c>
      <c r="X21">
        <v>4</v>
      </c>
      <c r="Y21" t="s">
        <v>47</v>
      </c>
    </row>
    <row r="22" spans="1:25" x14ac:dyDescent="0.35">
      <c r="A22">
        <v>20</v>
      </c>
      <c r="B22">
        <v>46028.637141203697</v>
      </c>
      <c r="C22">
        <v>46028.637685185196</v>
      </c>
      <c r="D22" t="s">
        <v>24</v>
      </c>
      <c r="E22" t="s">
        <v>25</v>
      </c>
      <c r="F22" t="s">
        <v>38</v>
      </c>
      <c r="I22" t="s">
        <v>26</v>
      </c>
      <c r="J22">
        <v>1000242686</v>
      </c>
      <c r="K22">
        <v>46030</v>
      </c>
      <c r="L22" t="s">
        <v>44</v>
      </c>
      <c r="P22" t="s">
        <v>45</v>
      </c>
      <c r="T22" t="s">
        <v>41</v>
      </c>
      <c r="W22">
        <v>9</v>
      </c>
      <c r="X22">
        <v>7</v>
      </c>
      <c r="Y22" t="s">
        <v>45</v>
      </c>
    </row>
    <row r="23" spans="1:25" x14ac:dyDescent="0.35">
      <c r="A23">
        <v>19</v>
      </c>
      <c r="B23">
        <v>46028.636365740698</v>
      </c>
      <c r="C23">
        <v>46028.636724536998</v>
      </c>
      <c r="D23" t="s">
        <v>36</v>
      </c>
      <c r="E23" t="s">
        <v>37</v>
      </c>
      <c r="F23" t="s">
        <v>38</v>
      </c>
      <c r="I23" t="s">
        <v>26</v>
      </c>
      <c r="J23">
        <v>1000242686</v>
      </c>
      <c r="K23">
        <v>46028</v>
      </c>
      <c r="L23" t="s">
        <v>39</v>
      </c>
      <c r="N23" t="s">
        <v>40</v>
      </c>
      <c r="T23" t="s">
        <v>41</v>
      </c>
      <c r="W23">
        <v>45</v>
      </c>
      <c r="X23">
        <v>5</v>
      </c>
      <c r="Y23" t="s">
        <v>40</v>
      </c>
    </row>
    <row r="24" spans="1:25" x14ac:dyDescent="0.35">
      <c r="A24">
        <v>18</v>
      </c>
      <c r="B24">
        <v>46028.628969907397</v>
      </c>
      <c r="C24">
        <v>46028.629398148099</v>
      </c>
      <c r="D24" t="s">
        <v>24</v>
      </c>
      <c r="E24" t="s">
        <v>25</v>
      </c>
      <c r="I24" t="s">
        <v>26</v>
      </c>
      <c r="J24">
        <v>1000242686</v>
      </c>
      <c r="K24">
        <v>46008</v>
      </c>
      <c r="L24" t="s">
        <v>33</v>
      </c>
      <c r="M24" t="s">
        <v>34</v>
      </c>
      <c r="T24" t="s">
        <v>30</v>
      </c>
      <c r="U24">
        <v>8</v>
      </c>
      <c r="V24">
        <v>6</v>
      </c>
      <c r="W24">
        <v>8</v>
      </c>
      <c r="X24">
        <v>9</v>
      </c>
      <c r="Y24" t="s">
        <v>34</v>
      </c>
    </row>
    <row r="25" spans="1:25" x14ac:dyDescent="0.35">
      <c r="A25">
        <v>17</v>
      </c>
      <c r="B25">
        <v>46028.628136574102</v>
      </c>
      <c r="C25">
        <v>46028.628564814797</v>
      </c>
      <c r="D25" t="s">
        <v>24</v>
      </c>
      <c r="E25" t="s">
        <v>25</v>
      </c>
      <c r="I25" t="s">
        <v>26</v>
      </c>
      <c r="J25">
        <v>1000242686</v>
      </c>
      <c r="K25">
        <v>46051</v>
      </c>
      <c r="L25" t="s">
        <v>28</v>
      </c>
      <c r="S25" t="s">
        <v>29</v>
      </c>
      <c r="T25" t="s">
        <v>30</v>
      </c>
      <c r="U25">
        <v>8</v>
      </c>
      <c r="V25">
        <v>9</v>
      </c>
      <c r="W25">
        <v>8</v>
      </c>
      <c r="X25">
        <v>9</v>
      </c>
      <c r="Y2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C7E5-5A0E-4AC8-8054-367610856B68}">
  <dimension ref="A1:O9"/>
  <sheetViews>
    <sheetView workbookViewId="0"/>
  </sheetViews>
  <sheetFormatPr defaultRowHeight="14.5" x14ac:dyDescent="0.35"/>
  <cols>
    <col min="1" max="1" width="22.26953125" customWidth="1"/>
    <col min="2" max="2" width="24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33" customWidth="1"/>
    <col min="9" max="9" width="41.6328125" customWidth="1"/>
    <col min="10" max="10" width="10.81640625" customWidth="1"/>
    <col min="11" max="11" width="5.816406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5" ht="14.5" customHeight="1" x14ac:dyDescent="0.3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110</v>
      </c>
      <c r="J1" t="s">
        <v>107</v>
      </c>
      <c r="K1" t="s">
        <v>105</v>
      </c>
      <c r="L1" t="s">
        <v>106</v>
      </c>
      <c r="M1" t="s">
        <v>108</v>
      </c>
      <c r="N1" t="s">
        <v>109</v>
      </c>
      <c r="O1" t="s">
        <v>111</v>
      </c>
    </row>
    <row r="2" spans="1:15" x14ac:dyDescent="0.35">
      <c r="A2" t="s">
        <v>24</v>
      </c>
      <c r="B2" t="s">
        <v>25</v>
      </c>
      <c r="C2" t="s">
        <v>78</v>
      </c>
      <c r="D2">
        <v>2403957</v>
      </c>
      <c r="E2" t="s">
        <v>26</v>
      </c>
      <c r="F2">
        <v>1000242686</v>
      </c>
      <c r="G2">
        <v>46029</v>
      </c>
      <c r="H2" t="s">
        <v>33</v>
      </c>
      <c r="I2" t="s">
        <v>75</v>
      </c>
      <c r="J2" t="s">
        <v>30</v>
      </c>
      <c r="K2">
        <v>45</v>
      </c>
      <c r="L2">
        <v>4</v>
      </c>
      <c r="M2">
        <v>56</v>
      </c>
      <c r="N2">
        <v>5</v>
      </c>
      <c r="O2" t="s">
        <v>75</v>
      </c>
    </row>
    <row r="3" spans="1:15" x14ac:dyDescent="0.35">
      <c r="A3" t="s">
        <v>101</v>
      </c>
      <c r="B3" t="s">
        <v>102</v>
      </c>
      <c r="C3" t="s">
        <v>78</v>
      </c>
      <c r="D3">
        <v>275715</v>
      </c>
      <c r="E3" t="s">
        <v>26</v>
      </c>
      <c r="F3">
        <v>1000242686</v>
      </c>
      <c r="G3">
        <v>46029</v>
      </c>
      <c r="H3" t="s">
        <v>33</v>
      </c>
      <c r="I3" t="s">
        <v>57</v>
      </c>
      <c r="J3" t="s">
        <v>30</v>
      </c>
      <c r="K3">
        <v>189</v>
      </c>
      <c r="L3">
        <v>1</v>
      </c>
      <c r="M3">
        <v>90</v>
      </c>
      <c r="N3">
        <v>3</v>
      </c>
      <c r="O3" t="s">
        <v>57</v>
      </c>
    </row>
    <row r="4" spans="1:15" x14ac:dyDescent="0.35">
      <c r="A4" t="s">
        <v>24</v>
      </c>
      <c r="B4" t="s">
        <v>25</v>
      </c>
      <c r="C4" t="s">
        <v>78</v>
      </c>
      <c r="D4">
        <v>43343434</v>
      </c>
      <c r="E4" t="s">
        <v>26</v>
      </c>
      <c r="F4">
        <v>1000242686</v>
      </c>
      <c r="G4">
        <v>46030</v>
      </c>
      <c r="H4" t="s">
        <v>33</v>
      </c>
      <c r="I4" t="s">
        <v>75</v>
      </c>
      <c r="J4" t="s">
        <v>30</v>
      </c>
      <c r="K4">
        <v>4332</v>
      </c>
      <c r="L4">
        <v>3</v>
      </c>
      <c r="M4">
        <v>4532</v>
      </c>
      <c r="N4">
        <v>3</v>
      </c>
      <c r="O4" t="s">
        <v>75</v>
      </c>
    </row>
    <row r="5" spans="1:15" x14ac:dyDescent="0.35">
      <c r="A5" t="s">
        <v>24</v>
      </c>
      <c r="B5" t="s">
        <v>25</v>
      </c>
      <c r="D5">
        <v>2403957</v>
      </c>
      <c r="E5" t="s">
        <v>26</v>
      </c>
      <c r="F5">
        <v>1000242686</v>
      </c>
      <c r="G5">
        <v>46030</v>
      </c>
      <c r="H5" t="s">
        <v>33</v>
      </c>
      <c r="I5" t="s">
        <v>75</v>
      </c>
      <c r="J5" t="s">
        <v>30</v>
      </c>
      <c r="K5">
        <v>67</v>
      </c>
      <c r="L5">
        <v>5</v>
      </c>
      <c r="M5">
        <v>67</v>
      </c>
      <c r="N5">
        <v>7</v>
      </c>
      <c r="O5" t="s">
        <v>75</v>
      </c>
    </row>
    <row r="6" spans="1:15" x14ac:dyDescent="0.35">
      <c r="A6" t="s">
        <v>52</v>
      </c>
      <c r="B6" t="s">
        <v>53</v>
      </c>
      <c r="E6" t="s">
        <v>26</v>
      </c>
      <c r="F6">
        <v>1000242686</v>
      </c>
      <c r="G6">
        <v>46034</v>
      </c>
      <c r="H6" t="s">
        <v>33</v>
      </c>
      <c r="I6" t="s">
        <v>57</v>
      </c>
      <c r="J6" t="s">
        <v>30</v>
      </c>
      <c r="K6">
        <v>545</v>
      </c>
      <c r="L6">
        <v>4</v>
      </c>
      <c r="M6">
        <v>9878</v>
      </c>
      <c r="N6">
        <v>10</v>
      </c>
      <c r="O6" t="s">
        <v>57</v>
      </c>
    </row>
    <row r="7" spans="1:15" x14ac:dyDescent="0.35">
      <c r="A7" t="s">
        <v>52</v>
      </c>
      <c r="B7" t="s">
        <v>53</v>
      </c>
      <c r="E7" t="s">
        <v>26</v>
      </c>
      <c r="F7">
        <v>1000242686</v>
      </c>
      <c r="G7">
        <v>46031</v>
      </c>
      <c r="H7" t="s">
        <v>33</v>
      </c>
      <c r="I7" t="s">
        <v>57</v>
      </c>
      <c r="J7" t="s">
        <v>30</v>
      </c>
      <c r="K7">
        <v>656</v>
      </c>
      <c r="L7">
        <v>4</v>
      </c>
      <c r="M7">
        <v>657</v>
      </c>
      <c r="N7">
        <v>10</v>
      </c>
      <c r="O7" t="s">
        <v>57</v>
      </c>
    </row>
    <row r="8" spans="1:15" x14ac:dyDescent="0.35">
      <c r="A8" t="s">
        <v>52</v>
      </c>
      <c r="B8" t="s">
        <v>53</v>
      </c>
      <c r="E8" t="s">
        <v>26</v>
      </c>
      <c r="F8">
        <v>1000242686</v>
      </c>
      <c r="G8">
        <v>46030</v>
      </c>
      <c r="H8" t="s">
        <v>33</v>
      </c>
      <c r="I8" t="s">
        <v>57</v>
      </c>
      <c r="J8" t="s">
        <v>30</v>
      </c>
      <c r="K8">
        <v>676</v>
      </c>
      <c r="L8">
        <v>2</v>
      </c>
      <c r="M8">
        <v>76756</v>
      </c>
      <c r="N8">
        <v>8</v>
      </c>
      <c r="O8" t="s">
        <v>57</v>
      </c>
    </row>
    <row r="9" spans="1:15" x14ac:dyDescent="0.35">
      <c r="A9" t="s">
        <v>24</v>
      </c>
      <c r="B9" t="s">
        <v>25</v>
      </c>
      <c r="E9" t="s">
        <v>26</v>
      </c>
      <c r="F9">
        <v>1000242686</v>
      </c>
      <c r="G9">
        <v>46008</v>
      </c>
      <c r="H9" t="s">
        <v>33</v>
      </c>
      <c r="I9" t="s">
        <v>34</v>
      </c>
      <c r="J9" t="s">
        <v>30</v>
      </c>
      <c r="K9">
        <v>8</v>
      </c>
      <c r="L9">
        <v>6</v>
      </c>
      <c r="M9">
        <v>8</v>
      </c>
      <c r="N9">
        <v>9</v>
      </c>
      <c r="O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AAF3-81B1-4DA8-97A7-96C8746CFBF8}">
  <dimension ref="A1:O3"/>
  <sheetViews>
    <sheetView workbookViewId="0"/>
  </sheetViews>
  <sheetFormatPr defaultRowHeight="14.5" x14ac:dyDescent="0.35"/>
  <cols>
    <col min="1" max="1" width="19.6328125" customWidth="1"/>
    <col min="2" max="2" width="17.7265625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20.36328125" customWidth="1"/>
    <col min="9" max="9" width="35" customWidth="1"/>
    <col min="10" max="10" width="33" customWidth="1"/>
    <col min="11" max="11" width="19.269531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5" ht="14.5" customHeight="1" x14ac:dyDescent="0.3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110</v>
      </c>
      <c r="J1" t="s">
        <v>107</v>
      </c>
      <c r="K1" t="s">
        <v>105</v>
      </c>
      <c r="L1" t="s">
        <v>106</v>
      </c>
      <c r="M1" t="s">
        <v>108</v>
      </c>
      <c r="N1" t="s">
        <v>109</v>
      </c>
      <c r="O1" t="s">
        <v>111</v>
      </c>
    </row>
    <row r="2" spans="1:15" x14ac:dyDescent="0.35">
      <c r="A2" t="s">
        <v>24</v>
      </c>
      <c r="B2" t="s">
        <v>25</v>
      </c>
      <c r="C2" t="s">
        <v>78</v>
      </c>
      <c r="D2">
        <v>34322</v>
      </c>
      <c r="E2" t="s">
        <v>26</v>
      </c>
      <c r="F2">
        <v>1000242686</v>
      </c>
      <c r="G2">
        <v>46029</v>
      </c>
      <c r="H2" t="s">
        <v>82</v>
      </c>
      <c r="I2" t="s">
        <v>98</v>
      </c>
      <c r="J2" t="s">
        <v>30</v>
      </c>
      <c r="K2">
        <v>24242</v>
      </c>
      <c r="L2">
        <v>3</v>
      </c>
      <c r="M2">
        <v>531</v>
      </c>
      <c r="N2">
        <v>5</v>
      </c>
      <c r="O2" t="s">
        <v>98</v>
      </c>
    </row>
    <row r="3" spans="1:15" x14ac:dyDescent="0.35">
      <c r="A3" t="s">
        <v>24</v>
      </c>
      <c r="B3" t="s">
        <v>25</v>
      </c>
      <c r="C3" t="s">
        <v>78</v>
      </c>
      <c r="D3">
        <v>2403957</v>
      </c>
      <c r="E3" t="s">
        <v>26</v>
      </c>
      <c r="F3">
        <v>1000242686</v>
      </c>
      <c r="G3">
        <v>46029</v>
      </c>
      <c r="H3" t="s">
        <v>82</v>
      </c>
      <c r="I3" t="s">
        <v>83</v>
      </c>
      <c r="J3" t="s">
        <v>30</v>
      </c>
      <c r="K3">
        <v>5</v>
      </c>
      <c r="L3">
        <v>5</v>
      </c>
      <c r="M3">
        <v>5</v>
      </c>
      <c r="N3">
        <v>6</v>
      </c>
      <c r="O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AD08-F48F-4233-8A0A-F98B0B2A51EF}">
  <dimension ref="A1:O3"/>
  <sheetViews>
    <sheetView topLeftCell="J1" workbookViewId="0"/>
  </sheetViews>
  <sheetFormatPr defaultRowHeight="14.5" x14ac:dyDescent="0.35"/>
  <cols>
    <col min="1" max="1" width="22.7265625" customWidth="1"/>
    <col min="2" max="2" width="20.1796875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21.08984375" customWidth="1"/>
    <col min="9" max="9" width="19.26953125" customWidth="1"/>
    <col min="10" max="10" width="10.81640625" customWidth="1"/>
    <col min="11" max="11" width="5.816406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5" ht="14.5" customHeight="1" x14ac:dyDescent="0.3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110</v>
      </c>
      <c r="J1" t="s">
        <v>107</v>
      </c>
      <c r="K1" t="s">
        <v>105</v>
      </c>
      <c r="L1" t="s">
        <v>106</v>
      </c>
      <c r="M1" t="s">
        <v>108</v>
      </c>
      <c r="N1" t="s">
        <v>109</v>
      </c>
      <c r="O1" t="s">
        <v>111</v>
      </c>
    </row>
    <row r="2" spans="1:15" x14ac:dyDescent="0.35">
      <c r="A2" t="s">
        <v>24</v>
      </c>
      <c r="B2" t="s">
        <v>25</v>
      </c>
      <c r="C2" t="s">
        <v>78</v>
      </c>
      <c r="D2">
        <v>343123</v>
      </c>
      <c r="E2" t="s">
        <v>26</v>
      </c>
      <c r="F2">
        <v>1000242686</v>
      </c>
      <c r="G2">
        <v>46029</v>
      </c>
      <c r="H2" t="s">
        <v>81</v>
      </c>
      <c r="I2" t="s">
        <v>81</v>
      </c>
      <c r="J2" t="s">
        <v>30</v>
      </c>
      <c r="K2">
        <v>3242</v>
      </c>
      <c r="L2">
        <v>3</v>
      </c>
      <c r="M2">
        <v>2342</v>
      </c>
      <c r="N2">
        <v>5</v>
      </c>
      <c r="O2" t="s">
        <v>81</v>
      </c>
    </row>
    <row r="3" spans="1:15" x14ac:dyDescent="0.35">
      <c r="A3" t="s">
        <v>24</v>
      </c>
      <c r="B3" t="s">
        <v>25</v>
      </c>
      <c r="C3" t="s">
        <v>78</v>
      </c>
      <c r="D3">
        <v>2403957</v>
      </c>
      <c r="E3" t="s">
        <v>26</v>
      </c>
      <c r="F3">
        <v>1000242686</v>
      </c>
      <c r="G3">
        <v>46029</v>
      </c>
      <c r="H3" t="s">
        <v>81</v>
      </c>
      <c r="I3" t="s">
        <v>81</v>
      </c>
      <c r="J3" t="s">
        <v>30</v>
      </c>
      <c r="K3">
        <v>45</v>
      </c>
      <c r="L3">
        <v>4</v>
      </c>
      <c r="M3">
        <v>5</v>
      </c>
      <c r="N3">
        <v>5</v>
      </c>
      <c r="O3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31E9-55B8-43A7-A131-14072D012172}">
  <dimension ref="A1:O3"/>
  <sheetViews>
    <sheetView topLeftCell="E1" workbookViewId="0"/>
  </sheetViews>
  <sheetFormatPr defaultRowHeight="14.5" x14ac:dyDescent="0.35"/>
  <cols>
    <col min="1" max="1" width="2.81640625" customWidth="1"/>
    <col min="2" max="2" width="11.81640625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11.26953125" customWidth="1"/>
    <col min="9" max="9" width="11.90625" customWidth="1"/>
    <col min="10" max="10" width="10.81640625" customWidth="1"/>
    <col min="11" max="11" width="5.816406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5" ht="14.5" customHeight="1" x14ac:dyDescent="0.3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18</v>
      </c>
      <c r="J1" t="s">
        <v>107</v>
      </c>
      <c r="K1" t="s">
        <v>105</v>
      </c>
      <c r="L1" t="s">
        <v>106</v>
      </c>
      <c r="M1" t="s">
        <v>108</v>
      </c>
      <c r="N1" t="s">
        <v>109</v>
      </c>
      <c r="O1" t="s">
        <v>111</v>
      </c>
    </row>
    <row r="2" spans="1:15" x14ac:dyDescent="0.35">
      <c r="A2" t="s">
        <v>24</v>
      </c>
      <c r="B2" t="s">
        <v>25</v>
      </c>
      <c r="C2" t="s">
        <v>78</v>
      </c>
      <c r="D2">
        <v>43434343</v>
      </c>
      <c r="E2" t="s">
        <v>26</v>
      </c>
      <c r="F2">
        <v>1000242686</v>
      </c>
      <c r="G2">
        <v>46030</v>
      </c>
      <c r="H2" t="s">
        <v>28</v>
      </c>
      <c r="I2" t="s">
        <v>89</v>
      </c>
      <c r="J2" t="s">
        <v>30</v>
      </c>
      <c r="K2">
        <v>433434</v>
      </c>
      <c r="L2">
        <v>5</v>
      </c>
      <c r="M2">
        <v>43434</v>
      </c>
      <c r="N2">
        <v>5</v>
      </c>
      <c r="O2" t="s">
        <v>89</v>
      </c>
    </row>
    <row r="3" spans="1:15" x14ac:dyDescent="0.35">
      <c r="A3" t="s">
        <v>24</v>
      </c>
      <c r="B3" t="s">
        <v>25</v>
      </c>
      <c r="E3" t="s">
        <v>26</v>
      </c>
      <c r="F3">
        <v>1000242686</v>
      </c>
      <c r="G3">
        <v>46051</v>
      </c>
      <c r="H3" t="s">
        <v>28</v>
      </c>
      <c r="I3" t="s">
        <v>29</v>
      </c>
      <c r="J3" t="s">
        <v>30</v>
      </c>
      <c r="K3">
        <v>8</v>
      </c>
      <c r="L3">
        <v>9</v>
      </c>
      <c r="M3">
        <v>8</v>
      </c>
      <c r="N3">
        <v>9</v>
      </c>
      <c r="O3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54E4-6FDE-4A5E-8FE2-454CB1EC8B95}">
  <dimension ref="A1:O5"/>
  <sheetViews>
    <sheetView workbookViewId="0"/>
  </sheetViews>
  <sheetFormatPr defaultRowHeight="14.5" x14ac:dyDescent="0.35"/>
  <cols>
    <col min="1" max="1" width="2.81640625" customWidth="1"/>
    <col min="2" max="2" width="11.81640625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11.26953125" customWidth="1"/>
    <col min="9" max="9" width="11.90625" customWidth="1"/>
    <col min="10" max="10" width="10.81640625" customWidth="1"/>
    <col min="11" max="11" width="5.816406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5" ht="14.5" customHeight="1" x14ac:dyDescent="0.3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110</v>
      </c>
      <c r="J1" t="s">
        <v>107</v>
      </c>
      <c r="K1" t="s">
        <v>105</v>
      </c>
      <c r="L1" t="s">
        <v>106</v>
      </c>
      <c r="M1" t="s">
        <v>108</v>
      </c>
      <c r="N1" t="s">
        <v>109</v>
      </c>
      <c r="O1" t="s">
        <v>111</v>
      </c>
    </row>
    <row r="2" spans="1:15" x14ac:dyDescent="0.35">
      <c r="A2" t="s">
        <v>24</v>
      </c>
      <c r="B2" t="s">
        <v>25</v>
      </c>
      <c r="C2" t="s">
        <v>78</v>
      </c>
      <c r="D2">
        <v>3432323</v>
      </c>
      <c r="E2" t="s">
        <v>26</v>
      </c>
      <c r="F2">
        <v>1000242686</v>
      </c>
      <c r="G2">
        <v>46030</v>
      </c>
      <c r="H2" t="s">
        <v>44</v>
      </c>
      <c r="I2" t="s">
        <v>85</v>
      </c>
      <c r="J2" t="s">
        <v>30</v>
      </c>
      <c r="K2">
        <v>4343</v>
      </c>
      <c r="L2">
        <v>4</v>
      </c>
      <c r="M2">
        <v>43434</v>
      </c>
      <c r="N2">
        <v>5</v>
      </c>
      <c r="O2" t="s">
        <v>85</v>
      </c>
    </row>
    <row r="3" spans="1:15" x14ac:dyDescent="0.35">
      <c r="A3" t="s">
        <v>36</v>
      </c>
      <c r="B3" t="s">
        <v>37</v>
      </c>
      <c r="E3" t="s">
        <v>26</v>
      </c>
      <c r="F3">
        <v>1000242686</v>
      </c>
      <c r="G3">
        <v>46034</v>
      </c>
      <c r="H3" t="s">
        <v>44</v>
      </c>
      <c r="I3" t="s">
        <v>56</v>
      </c>
      <c r="J3" t="s">
        <v>30</v>
      </c>
      <c r="K3">
        <v>20</v>
      </c>
      <c r="L3">
        <v>2</v>
      </c>
      <c r="M3">
        <v>3</v>
      </c>
      <c r="N3">
        <v>5</v>
      </c>
      <c r="O3" t="s">
        <v>56</v>
      </c>
    </row>
    <row r="4" spans="1:15" x14ac:dyDescent="0.35">
      <c r="A4" t="s">
        <v>52</v>
      </c>
      <c r="B4" t="s">
        <v>53</v>
      </c>
      <c r="E4" t="s">
        <v>26</v>
      </c>
      <c r="F4">
        <v>1000242686</v>
      </c>
      <c r="G4">
        <v>46029</v>
      </c>
      <c r="H4" t="s">
        <v>44</v>
      </c>
      <c r="I4" t="s">
        <v>54</v>
      </c>
      <c r="J4" t="s">
        <v>30</v>
      </c>
      <c r="K4">
        <v>20</v>
      </c>
      <c r="L4">
        <v>2</v>
      </c>
      <c r="M4">
        <v>20</v>
      </c>
      <c r="N4">
        <v>1</v>
      </c>
      <c r="O4" t="s">
        <v>54</v>
      </c>
    </row>
    <row r="5" spans="1:15" x14ac:dyDescent="0.35">
      <c r="A5" t="s">
        <v>24</v>
      </c>
      <c r="B5" t="s">
        <v>25</v>
      </c>
      <c r="E5" t="s">
        <v>26</v>
      </c>
      <c r="F5">
        <v>1000242686</v>
      </c>
      <c r="G5">
        <v>46030</v>
      </c>
      <c r="H5" t="s">
        <v>44</v>
      </c>
      <c r="I5" t="s">
        <v>45</v>
      </c>
      <c r="J5" t="s">
        <v>41</v>
      </c>
      <c r="M5">
        <v>9</v>
      </c>
      <c r="N5">
        <v>7</v>
      </c>
      <c r="O5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F838-8E63-4831-B9D3-60E36BD2E3BE}">
  <dimension ref="A1:O3"/>
  <sheetViews>
    <sheetView workbookViewId="0"/>
  </sheetViews>
  <sheetFormatPr defaultRowHeight="14.5" x14ac:dyDescent="0.35"/>
  <cols>
    <col min="1" max="1" width="2.81640625" customWidth="1"/>
    <col min="2" max="2" width="11.81640625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11.26953125" customWidth="1"/>
    <col min="9" max="9" width="11.90625" customWidth="1"/>
    <col min="10" max="10" width="10.81640625" customWidth="1"/>
    <col min="11" max="11" width="5.816406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5" ht="14.5" customHeight="1" x14ac:dyDescent="0.3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110</v>
      </c>
      <c r="J1" t="s">
        <v>107</v>
      </c>
      <c r="K1" t="s">
        <v>105</v>
      </c>
      <c r="L1" t="s">
        <v>106</v>
      </c>
      <c r="M1" t="s">
        <v>108</v>
      </c>
      <c r="N1" t="s">
        <v>109</v>
      </c>
      <c r="O1" t="s">
        <v>111</v>
      </c>
    </row>
    <row r="2" spans="1:15" x14ac:dyDescent="0.35">
      <c r="A2" t="s">
        <v>36</v>
      </c>
      <c r="B2" t="s">
        <v>37</v>
      </c>
      <c r="C2" t="s">
        <v>78</v>
      </c>
      <c r="D2">
        <v>12345</v>
      </c>
      <c r="E2" t="s">
        <v>26</v>
      </c>
      <c r="F2">
        <v>1000242686</v>
      </c>
      <c r="G2">
        <v>46029</v>
      </c>
      <c r="H2" t="s">
        <v>69</v>
      </c>
      <c r="I2" t="s">
        <v>70</v>
      </c>
      <c r="J2" t="s">
        <v>30</v>
      </c>
      <c r="K2">
        <v>43</v>
      </c>
      <c r="L2">
        <v>2</v>
      </c>
      <c r="M2">
        <v>43</v>
      </c>
      <c r="N2">
        <v>5</v>
      </c>
      <c r="O2" t="s">
        <v>70</v>
      </c>
    </row>
    <row r="3" spans="1:15" x14ac:dyDescent="0.35">
      <c r="A3" t="s">
        <v>24</v>
      </c>
      <c r="B3" t="s">
        <v>25</v>
      </c>
      <c r="E3" t="s">
        <v>26</v>
      </c>
      <c r="F3">
        <v>1000242686</v>
      </c>
      <c r="G3">
        <v>46035</v>
      </c>
      <c r="H3" t="s">
        <v>69</v>
      </c>
      <c r="I3" t="s">
        <v>70</v>
      </c>
      <c r="J3" t="s">
        <v>41</v>
      </c>
      <c r="M3">
        <v>70</v>
      </c>
      <c r="N3">
        <v>7</v>
      </c>
      <c r="O3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5F9E-7526-47EC-9D00-A6EB9CB70DC9}">
  <dimension ref="A1:N5"/>
  <sheetViews>
    <sheetView workbookViewId="0"/>
  </sheetViews>
  <sheetFormatPr defaultRowHeight="14.5" x14ac:dyDescent="0.35"/>
  <cols>
    <col min="1" max="1" width="2.81640625" customWidth="1"/>
    <col min="2" max="2" width="11.81640625" customWidth="1"/>
    <col min="3" max="3" width="14.7265625" customWidth="1"/>
    <col min="4" max="4" width="21.90625" customWidth="1"/>
    <col min="5" max="5" width="15" customWidth="1"/>
    <col min="6" max="6" width="21.90625" customWidth="1"/>
    <col min="7" max="7" width="31.54296875" customWidth="1"/>
    <col min="8" max="8" width="11.26953125" customWidth="1"/>
    <col min="9" max="9" width="11.90625" customWidth="1"/>
    <col min="10" max="10" width="10.81640625" customWidth="1"/>
    <col min="11" max="11" width="5.81640625" customWidth="1"/>
    <col min="12" max="12" width="25.54296875" customWidth="1"/>
    <col min="13" max="13" width="46.54296875" customWidth="1"/>
    <col min="14" max="14" width="39.1796875" customWidth="1"/>
    <col min="15" max="15" width="80.1796875" customWidth="1"/>
    <col min="16" max="16" width="42.08984375" customWidth="1"/>
    <col min="17" max="17" width="34.6328125" customWidth="1"/>
    <col min="18" max="18" width="32.7265625" customWidth="1"/>
    <col min="19" max="19" width="12.08984375" customWidth="1"/>
    <col min="20" max="20" width="23.90625" customWidth="1"/>
    <col min="21" max="21" width="71.08984375" customWidth="1"/>
    <col min="22" max="22" width="29.81640625" customWidth="1"/>
    <col min="23" max="23" width="73.90625" customWidth="1"/>
    <col min="24" max="24" width="32.6328125" customWidth="1"/>
    <col min="25" max="25" width="80.1796875" customWidth="1"/>
  </cols>
  <sheetData>
    <row r="1" spans="1:14" ht="14.5" customHeight="1" x14ac:dyDescent="0.35">
      <c r="A1" t="s">
        <v>3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110</v>
      </c>
      <c r="I1" t="s">
        <v>107</v>
      </c>
      <c r="J1" t="s">
        <v>105</v>
      </c>
      <c r="K1" t="s">
        <v>106</v>
      </c>
      <c r="L1" t="s">
        <v>108</v>
      </c>
      <c r="M1" t="s">
        <v>109</v>
      </c>
      <c r="N1" t="s">
        <v>111</v>
      </c>
    </row>
    <row r="2" spans="1:14" x14ac:dyDescent="0.35">
      <c r="A2" t="s">
        <v>24</v>
      </c>
      <c r="B2" t="s">
        <v>25</v>
      </c>
      <c r="C2">
        <v>2403957</v>
      </c>
      <c r="D2" t="s">
        <v>26</v>
      </c>
      <c r="E2">
        <v>1000242686</v>
      </c>
      <c r="F2">
        <v>46029</v>
      </c>
      <c r="G2" t="s">
        <v>39</v>
      </c>
      <c r="H2" t="s">
        <v>73</v>
      </c>
      <c r="I2" t="s">
        <v>41</v>
      </c>
      <c r="L2">
        <v>40</v>
      </c>
      <c r="M2">
        <v>8</v>
      </c>
      <c r="N2" t="s">
        <v>73</v>
      </c>
    </row>
    <row r="3" spans="1:14" x14ac:dyDescent="0.35">
      <c r="A3" t="s">
        <v>36</v>
      </c>
      <c r="B3" t="s">
        <v>37</v>
      </c>
      <c r="D3" t="s">
        <v>26</v>
      </c>
      <c r="E3">
        <v>1000242686</v>
      </c>
      <c r="F3">
        <v>46031</v>
      </c>
      <c r="G3" t="s">
        <v>39</v>
      </c>
      <c r="H3" t="s">
        <v>67</v>
      </c>
      <c r="I3" t="s">
        <v>30</v>
      </c>
      <c r="J3">
        <v>34</v>
      </c>
      <c r="K3">
        <v>4</v>
      </c>
      <c r="L3">
        <v>5</v>
      </c>
      <c r="M3">
        <v>4</v>
      </c>
      <c r="N3" t="s">
        <v>67</v>
      </c>
    </row>
    <row r="4" spans="1:14" x14ac:dyDescent="0.35">
      <c r="A4" t="s">
        <v>24</v>
      </c>
      <c r="B4" t="s">
        <v>25</v>
      </c>
      <c r="D4" t="s">
        <v>26</v>
      </c>
      <c r="E4">
        <v>1000242686</v>
      </c>
      <c r="F4">
        <v>46031</v>
      </c>
      <c r="G4" t="s">
        <v>39</v>
      </c>
      <c r="H4" t="s">
        <v>47</v>
      </c>
      <c r="I4" t="s">
        <v>30</v>
      </c>
      <c r="J4">
        <v>1</v>
      </c>
      <c r="K4">
        <v>2</v>
      </c>
      <c r="L4">
        <v>3</v>
      </c>
      <c r="M4">
        <v>4</v>
      </c>
      <c r="N4" t="s">
        <v>47</v>
      </c>
    </row>
    <row r="5" spans="1:14" x14ac:dyDescent="0.35">
      <c r="A5" t="s">
        <v>36</v>
      </c>
      <c r="B5" t="s">
        <v>37</v>
      </c>
      <c r="D5" t="s">
        <v>26</v>
      </c>
      <c r="E5">
        <v>1000242686</v>
      </c>
      <c r="F5">
        <v>46028</v>
      </c>
      <c r="G5" t="s">
        <v>39</v>
      </c>
      <c r="H5" t="s">
        <v>40</v>
      </c>
      <c r="I5" t="s">
        <v>41</v>
      </c>
      <c r="L5">
        <v>45</v>
      </c>
      <c r="M5">
        <v>5</v>
      </c>
      <c r="N5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422B-895F-4885-A4D8-5A89184DE59C}">
  <dimension ref="A1:I18"/>
  <sheetViews>
    <sheetView tabSelected="1" workbookViewId="0">
      <selection activeCell="A4" sqref="A4"/>
    </sheetView>
  </sheetViews>
  <sheetFormatPr defaultRowHeight="14.5" x14ac:dyDescent="0.35"/>
  <cols>
    <col min="1" max="1" width="25.54296875" bestFit="1" customWidth="1"/>
    <col min="2" max="2" width="80.1796875" bestFit="1" customWidth="1"/>
    <col min="3" max="3" width="10.54296875" bestFit="1" customWidth="1"/>
    <col min="4" max="4" width="11.453125" bestFit="1" customWidth="1"/>
    <col min="5" max="5" width="12.26953125" bestFit="1" customWidth="1"/>
    <col min="6" max="6" width="13.26953125" bestFit="1" customWidth="1"/>
    <col min="7" max="7" width="8.6328125" customWidth="1"/>
    <col min="8" max="8" width="12.90625" bestFit="1" customWidth="1"/>
    <col min="9" max="9" width="11.7265625" bestFit="1" customWidth="1"/>
  </cols>
  <sheetData>
    <row r="1" spans="1:9" x14ac:dyDescent="0.35">
      <c r="A1" s="4" t="s">
        <v>11</v>
      </c>
      <c r="B1" s="4" t="s">
        <v>110</v>
      </c>
      <c r="C1" s="4" t="s">
        <v>105</v>
      </c>
      <c r="D1" s="4" t="s">
        <v>117</v>
      </c>
      <c r="E1" s="4" t="s">
        <v>108</v>
      </c>
      <c r="F1" s="4" t="s">
        <v>118</v>
      </c>
      <c r="G1" s="4" t="s">
        <v>112</v>
      </c>
      <c r="H1" s="4" t="s">
        <v>115</v>
      </c>
      <c r="I1" s="4" t="s">
        <v>116</v>
      </c>
    </row>
    <row r="2" spans="1:9" x14ac:dyDescent="0.35">
      <c r="A2" s="5" t="s">
        <v>33</v>
      </c>
      <c r="B2" s="5" t="s">
        <v>75</v>
      </c>
      <c r="C2" s="6">
        <v>4444</v>
      </c>
      <c r="D2" s="6">
        <v>12</v>
      </c>
      <c r="E2" s="6">
        <v>4655</v>
      </c>
      <c r="F2" s="6">
        <v>15</v>
      </c>
      <c r="G2" s="6">
        <v>9099</v>
      </c>
      <c r="H2" s="7">
        <v>0.4884</v>
      </c>
      <c r="I2" s="7">
        <v>0.51160000000000005</v>
      </c>
    </row>
    <row r="3" spans="1:9" x14ac:dyDescent="0.35">
      <c r="A3" s="5" t="s">
        <v>33</v>
      </c>
      <c r="B3" s="5" t="s">
        <v>57</v>
      </c>
      <c r="C3" s="6">
        <v>2066</v>
      </c>
      <c r="D3" s="6">
        <v>11</v>
      </c>
      <c r="E3" s="6">
        <v>87381</v>
      </c>
      <c r="F3" s="6">
        <v>31</v>
      </c>
      <c r="G3" s="6">
        <v>89447</v>
      </c>
      <c r="H3" s="7">
        <v>2.3099999999999999E-2</v>
      </c>
      <c r="I3" s="7">
        <v>0.97689999999999999</v>
      </c>
    </row>
    <row r="4" spans="1:9" x14ac:dyDescent="0.35">
      <c r="A4" s="5" t="s">
        <v>33</v>
      </c>
      <c r="B4" s="5" t="s">
        <v>34</v>
      </c>
      <c r="C4" s="6">
        <v>8</v>
      </c>
      <c r="D4" s="6">
        <v>6</v>
      </c>
      <c r="E4" s="6">
        <v>8</v>
      </c>
      <c r="F4" s="6">
        <v>9</v>
      </c>
      <c r="G4" s="6">
        <v>16</v>
      </c>
      <c r="H4" s="7">
        <v>0.5</v>
      </c>
      <c r="I4" s="7">
        <v>0.5</v>
      </c>
    </row>
    <row r="5" spans="1:9" x14ac:dyDescent="0.35">
      <c r="A5" s="5" t="s">
        <v>39</v>
      </c>
      <c r="B5" s="5" t="s">
        <v>73</v>
      </c>
      <c r="C5" s="6">
        <v>0</v>
      </c>
      <c r="D5" s="6">
        <v>0</v>
      </c>
      <c r="E5" s="6">
        <v>40</v>
      </c>
      <c r="F5" s="6">
        <v>8</v>
      </c>
      <c r="G5" s="6">
        <v>40</v>
      </c>
      <c r="H5" s="7">
        <v>0</v>
      </c>
      <c r="I5" s="7">
        <v>1</v>
      </c>
    </row>
    <row r="6" spans="1:9" x14ac:dyDescent="0.35">
      <c r="A6" s="5" t="s">
        <v>39</v>
      </c>
      <c r="B6" s="5" t="s">
        <v>40</v>
      </c>
      <c r="C6" s="6">
        <v>0</v>
      </c>
      <c r="D6" s="6">
        <v>0</v>
      </c>
      <c r="E6" s="6">
        <v>45</v>
      </c>
      <c r="F6" s="6">
        <v>5</v>
      </c>
      <c r="G6" s="6">
        <v>45</v>
      </c>
      <c r="H6" s="7">
        <v>0</v>
      </c>
      <c r="I6" s="7">
        <v>1</v>
      </c>
    </row>
    <row r="7" spans="1:9" x14ac:dyDescent="0.35">
      <c r="A7" s="5" t="s">
        <v>39</v>
      </c>
      <c r="B7" s="5" t="s">
        <v>67</v>
      </c>
      <c r="C7" s="6">
        <v>34</v>
      </c>
      <c r="D7" s="6">
        <v>4</v>
      </c>
      <c r="E7" s="6">
        <v>5</v>
      </c>
      <c r="F7" s="6">
        <v>4</v>
      </c>
      <c r="G7" s="6">
        <v>39</v>
      </c>
      <c r="H7" s="7">
        <v>0.87180000000000002</v>
      </c>
      <c r="I7" s="7">
        <v>0.12820000000000001</v>
      </c>
    </row>
    <row r="8" spans="1:9" x14ac:dyDescent="0.35">
      <c r="A8" s="5" t="s">
        <v>39</v>
      </c>
      <c r="B8" s="5" t="s">
        <v>47</v>
      </c>
      <c r="C8" s="6">
        <v>1</v>
      </c>
      <c r="D8" s="6">
        <v>2</v>
      </c>
      <c r="E8" s="6">
        <v>3</v>
      </c>
      <c r="F8" s="6">
        <v>4</v>
      </c>
      <c r="G8" s="6">
        <v>4</v>
      </c>
      <c r="H8" s="7">
        <v>0.25</v>
      </c>
      <c r="I8" s="7">
        <v>0.75</v>
      </c>
    </row>
    <row r="9" spans="1:9" x14ac:dyDescent="0.35">
      <c r="A9" s="5" t="s">
        <v>82</v>
      </c>
      <c r="B9" s="5" t="s">
        <v>83</v>
      </c>
      <c r="C9" s="6">
        <v>5</v>
      </c>
      <c r="D9" s="6">
        <v>5</v>
      </c>
      <c r="E9" s="6">
        <v>5</v>
      </c>
      <c r="F9" s="6">
        <v>6</v>
      </c>
      <c r="G9" s="6">
        <v>10</v>
      </c>
      <c r="H9" s="7">
        <v>0.5</v>
      </c>
      <c r="I9" s="7">
        <v>0.5</v>
      </c>
    </row>
    <row r="10" spans="1:9" x14ac:dyDescent="0.35">
      <c r="A10" s="5" t="s">
        <v>82</v>
      </c>
      <c r="B10" s="5" t="s">
        <v>98</v>
      </c>
      <c r="C10" s="6">
        <v>24242</v>
      </c>
      <c r="D10" s="6">
        <v>3</v>
      </c>
      <c r="E10" s="6">
        <v>531</v>
      </c>
      <c r="F10" s="6">
        <v>5</v>
      </c>
      <c r="G10" s="6">
        <v>24773</v>
      </c>
      <c r="H10" s="7">
        <v>0.97860000000000003</v>
      </c>
      <c r="I10" s="7">
        <v>2.1399999999999999E-2</v>
      </c>
    </row>
    <row r="11" spans="1:9" x14ac:dyDescent="0.35">
      <c r="A11" s="5" t="s">
        <v>69</v>
      </c>
      <c r="B11" s="5" t="s">
        <v>70</v>
      </c>
      <c r="C11" s="6">
        <v>43</v>
      </c>
      <c r="D11" s="6">
        <v>2</v>
      </c>
      <c r="E11" s="6">
        <v>113</v>
      </c>
      <c r="F11" s="6">
        <v>12</v>
      </c>
      <c r="G11" s="6">
        <v>156</v>
      </c>
      <c r="H11" s="7">
        <v>0.27560000000000001</v>
      </c>
      <c r="I11" s="7">
        <v>0.72440000000000004</v>
      </c>
    </row>
    <row r="12" spans="1:9" x14ac:dyDescent="0.35">
      <c r="A12" s="5" t="s">
        <v>81</v>
      </c>
      <c r="B12" s="5" t="s">
        <v>81</v>
      </c>
      <c r="C12" s="6">
        <v>3287</v>
      </c>
      <c r="D12" s="6">
        <v>7</v>
      </c>
      <c r="E12" s="6">
        <v>2347</v>
      </c>
      <c r="F12" s="6">
        <v>10</v>
      </c>
      <c r="G12" s="6">
        <v>5634</v>
      </c>
      <c r="H12" s="7">
        <v>0.58340000000000003</v>
      </c>
      <c r="I12" s="7">
        <v>0.41660000000000003</v>
      </c>
    </row>
    <row r="13" spans="1:9" x14ac:dyDescent="0.35">
      <c r="A13" s="5" t="s">
        <v>28</v>
      </c>
      <c r="B13" s="5" t="s">
        <v>29</v>
      </c>
      <c r="C13" s="6">
        <v>8</v>
      </c>
      <c r="D13" s="6">
        <v>9</v>
      </c>
      <c r="E13" s="6">
        <v>8</v>
      </c>
      <c r="F13" s="6">
        <v>9</v>
      </c>
      <c r="G13" s="6">
        <v>16</v>
      </c>
      <c r="H13" s="7">
        <v>0.5</v>
      </c>
      <c r="I13" s="7">
        <v>0.5</v>
      </c>
    </row>
    <row r="14" spans="1:9" x14ac:dyDescent="0.35">
      <c r="A14" s="5" t="s">
        <v>28</v>
      </c>
      <c r="B14" s="5" t="s">
        <v>89</v>
      </c>
      <c r="C14" s="6">
        <v>433434</v>
      </c>
      <c r="D14" s="6">
        <v>5</v>
      </c>
      <c r="E14" s="6">
        <v>43434</v>
      </c>
      <c r="F14" s="6">
        <v>5</v>
      </c>
      <c r="G14" s="6">
        <v>476868</v>
      </c>
      <c r="H14" s="7">
        <v>0.90890000000000004</v>
      </c>
      <c r="I14" s="7">
        <v>9.11E-2</v>
      </c>
    </row>
    <row r="15" spans="1:9" x14ac:dyDescent="0.35">
      <c r="A15" s="5" t="s">
        <v>44</v>
      </c>
      <c r="B15" s="5" t="s">
        <v>85</v>
      </c>
      <c r="C15" s="6">
        <v>4343</v>
      </c>
      <c r="D15" s="6">
        <v>4</v>
      </c>
      <c r="E15" s="6">
        <v>43434</v>
      </c>
      <c r="F15" s="6">
        <v>5</v>
      </c>
      <c r="G15" s="6">
        <v>47777</v>
      </c>
      <c r="H15" s="7">
        <v>9.0899999999999995E-2</v>
      </c>
      <c r="I15" s="7">
        <v>0.90910000000000002</v>
      </c>
    </row>
    <row r="16" spans="1:9" x14ac:dyDescent="0.35">
      <c r="A16" s="5" t="s">
        <v>44</v>
      </c>
      <c r="B16" s="5" t="s">
        <v>45</v>
      </c>
      <c r="C16" s="6">
        <v>0</v>
      </c>
      <c r="D16" s="6">
        <v>0</v>
      </c>
      <c r="E16" s="6">
        <v>9</v>
      </c>
      <c r="F16" s="6">
        <v>7</v>
      </c>
      <c r="G16" s="6">
        <v>9</v>
      </c>
      <c r="H16" s="7">
        <v>0</v>
      </c>
      <c r="I16" s="7">
        <v>1</v>
      </c>
    </row>
    <row r="17" spans="1:9" x14ac:dyDescent="0.35">
      <c r="A17" s="5" t="s">
        <v>44</v>
      </c>
      <c r="B17" s="5" t="s">
        <v>56</v>
      </c>
      <c r="C17" s="6">
        <v>20</v>
      </c>
      <c r="D17" s="6">
        <v>2</v>
      </c>
      <c r="E17" s="6">
        <v>3</v>
      </c>
      <c r="F17" s="6">
        <v>5</v>
      </c>
      <c r="G17" s="6">
        <v>23</v>
      </c>
      <c r="H17" s="7">
        <v>0.86960000000000004</v>
      </c>
      <c r="I17" s="7">
        <v>0.13039999999999999</v>
      </c>
    </row>
    <row r="18" spans="1:9" x14ac:dyDescent="0.35">
      <c r="A18" s="5" t="s">
        <v>44</v>
      </c>
      <c r="B18" s="5" t="s">
        <v>54</v>
      </c>
      <c r="C18" s="6">
        <v>20</v>
      </c>
      <c r="D18" s="6">
        <v>2</v>
      </c>
      <c r="E18" s="6">
        <v>20</v>
      </c>
      <c r="F18" s="6">
        <v>1</v>
      </c>
      <c r="G18" s="6">
        <v>40</v>
      </c>
      <c r="H18" s="7">
        <v>0.5</v>
      </c>
      <c r="I18" s="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Final</vt:lpstr>
      <vt:lpstr>CleanedResponses</vt:lpstr>
      <vt:lpstr>Business Requirements</vt:lpstr>
      <vt:lpstr>Deploy &amp; Hypercare</vt:lpstr>
      <vt:lpstr>Domain or Business Use Case</vt:lpstr>
      <vt:lpstr>Others</vt:lpstr>
      <vt:lpstr>Test &amp; Review</vt:lpstr>
      <vt:lpstr>Design</vt:lpstr>
      <vt:lpstr>Code &amp; Build</vt:lpstr>
      <vt:lpstr>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Ahmed, SK Abir (Cognizant)</cp:lastModifiedBy>
  <dcterms:created xsi:type="dcterms:W3CDTF">2026-01-07T14:12:23Z</dcterms:created>
  <dcterms:modified xsi:type="dcterms:W3CDTF">2026-01-08T13:08:16Z</dcterms:modified>
</cp:coreProperties>
</file>